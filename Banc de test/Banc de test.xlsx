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2025-2026-4GPb-NMinhKhue-lok411-ntruonginsatls\Banc de test\"/>
    </mc:Choice>
  </mc:AlternateContent>
  <xr:revisionPtr revIDLastSave="0" documentId="13_ncr:1_{15C92B13-BC58-4661-A422-DC66389FAA3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1" r:id="rId1"/>
    <sheet name="Tension" sheetId="2" r:id="rId2"/>
    <sheet name="Compress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3" l="1"/>
  <c r="K8" i="3"/>
  <c r="K9" i="3"/>
  <c r="K10" i="3"/>
  <c r="K11" i="3"/>
  <c r="K7" i="3"/>
  <c r="J8" i="3"/>
  <c r="J9" i="3"/>
  <c r="J10" i="3"/>
  <c r="J11" i="3"/>
  <c r="J12" i="3"/>
  <c r="J7" i="3"/>
  <c r="I12" i="3"/>
  <c r="I8" i="3"/>
  <c r="I9" i="3"/>
  <c r="I10" i="3"/>
  <c r="I11" i="3"/>
  <c r="I7" i="3"/>
  <c r="H8" i="3"/>
  <c r="H9" i="3"/>
  <c r="H10" i="3"/>
  <c r="H11" i="3"/>
  <c r="H12" i="3"/>
  <c r="H7" i="3"/>
  <c r="G8" i="3"/>
  <c r="G9" i="3"/>
  <c r="G10" i="3"/>
  <c r="G11" i="3"/>
  <c r="G12" i="3"/>
  <c r="G7" i="3"/>
  <c r="L9" i="2"/>
  <c r="L10" i="2"/>
  <c r="L11" i="2"/>
  <c r="L12" i="2"/>
  <c r="L13" i="2"/>
  <c r="L8" i="2"/>
  <c r="K10" i="2"/>
  <c r="K8" i="2"/>
  <c r="K9" i="2"/>
  <c r="K11" i="2"/>
  <c r="K12" i="2"/>
  <c r="K13" i="2"/>
  <c r="J13" i="2"/>
  <c r="J9" i="2"/>
  <c r="J10" i="2"/>
  <c r="J11" i="2"/>
  <c r="J12" i="2"/>
  <c r="J8" i="2"/>
  <c r="I9" i="2"/>
  <c r="I10" i="2"/>
  <c r="I11" i="2"/>
  <c r="I12" i="2"/>
  <c r="I13" i="2"/>
  <c r="I8" i="2"/>
  <c r="H9" i="2"/>
  <c r="H10" i="2"/>
  <c r="H11" i="2"/>
  <c r="H12" i="2"/>
  <c r="H13" i="2"/>
  <c r="H8" i="2"/>
  <c r="D56" i="3"/>
  <c r="C56" i="3"/>
  <c r="D55" i="3"/>
  <c r="C55" i="3"/>
  <c r="D54" i="3"/>
  <c r="C54" i="3"/>
  <c r="D53" i="3"/>
  <c r="C53" i="3"/>
  <c r="D52" i="3"/>
  <c r="C52" i="3"/>
  <c r="D51" i="3"/>
  <c r="C51" i="3"/>
  <c r="D45" i="3"/>
  <c r="C45" i="3"/>
  <c r="D44" i="3"/>
  <c r="C44" i="3"/>
  <c r="D43" i="3"/>
  <c r="C43" i="3"/>
  <c r="D42" i="3"/>
  <c r="C42" i="3"/>
  <c r="D41" i="3"/>
  <c r="C41" i="3"/>
  <c r="D40" i="3"/>
  <c r="C40" i="3"/>
  <c r="D34" i="3"/>
  <c r="C34" i="3"/>
  <c r="D33" i="3"/>
  <c r="C33" i="3"/>
  <c r="D32" i="3"/>
  <c r="C32" i="3"/>
  <c r="D31" i="3"/>
  <c r="C31" i="3"/>
  <c r="D30" i="3"/>
  <c r="C30" i="3"/>
  <c r="D29" i="3"/>
  <c r="C29" i="3"/>
  <c r="D23" i="3"/>
  <c r="C23" i="3"/>
  <c r="D22" i="3"/>
  <c r="C22" i="3"/>
  <c r="D21" i="3"/>
  <c r="C21" i="3"/>
  <c r="D20" i="3"/>
  <c r="C20" i="3"/>
  <c r="D19" i="3"/>
  <c r="C19" i="3"/>
  <c r="D18" i="3"/>
  <c r="C18" i="3"/>
  <c r="D12" i="3"/>
  <c r="C12" i="3"/>
  <c r="D11" i="3"/>
  <c r="C11" i="3"/>
  <c r="D10" i="3"/>
  <c r="C10" i="3"/>
  <c r="D9" i="3"/>
  <c r="C9" i="3"/>
  <c r="D8" i="3"/>
  <c r="C8" i="3"/>
  <c r="D7" i="3"/>
  <c r="C7" i="3"/>
  <c r="D55" i="2"/>
  <c r="C55" i="2"/>
  <c r="D54" i="2"/>
  <c r="C54" i="2"/>
  <c r="D53" i="2"/>
  <c r="C53" i="2"/>
  <c r="D52" i="2"/>
  <c r="C52" i="2"/>
  <c r="D51" i="2"/>
  <c r="C51" i="2"/>
  <c r="D50" i="2"/>
  <c r="C50" i="2"/>
  <c r="D45" i="2"/>
  <c r="C45" i="2"/>
  <c r="D44" i="2"/>
  <c r="C44" i="2"/>
  <c r="D43" i="2"/>
  <c r="C43" i="2"/>
  <c r="D42" i="2"/>
  <c r="C42" i="2"/>
  <c r="D41" i="2"/>
  <c r="C41" i="2"/>
  <c r="D40" i="2"/>
  <c r="C40" i="2"/>
  <c r="D35" i="2"/>
  <c r="C35" i="2"/>
  <c r="D34" i="2"/>
  <c r="C34" i="2"/>
  <c r="D33" i="2"/>
  <c r="C33" i="2"/>
  <c r="D32" i="2"/>
  <c r="C32" i="2"/>
  <c r="D31" i="2"/>
  <c r="C31" i="2"/>
  <c r="D30" i="2"/>
  <c r="C30" i="2"/>
  <c r="D24" i="2"/>
  <c r="C24" i="2"/>
  <c r="D23" i="2"/>
  <c r="C23" i="2"/>
  <c r="D22" i="2"/>
  <c r="C22" i="2"/>
  <c r="D21" i="2"/>
  <c r="C21" i="2"/>
  <c r="D20" i="2"/>
  <c r="C20" i="2"/>
  <c r="D19" i="2"/>
  <c r="C19" i="2"/>
  <c r="D13" i="2"/>
  <c r="C13" i="2"/>
  <c r="D12" i="2"/>
  <c r="C12" i="2"/>
  <c r="D11" i="2"/>
  <c r="C11" i="2"/>
  <c r="D10" i="2"/>
  <c r="C10" i="2"/>
  <c r="D9" i="2"/>
  <c r="C9" i="2"/>
  <c r="D8" i="2"/>
  <c r="C8" i="2"/>
</calcChain>
</file>

<file path=xl/sharedStrings.xml><?xml version="1.0" encoding="utf-8"?>
<sst xmlns="http://schemas.openxmlformats.org/spreadsheetml/2006/main" count="104" uniqueCount="36">
  <si>
    <t>Capteur Graphite</t>
  </si>
  <si>
    <t>Flex Sensor</t>
  </si>
  <si>
    <t>HB</t>
  </si>
  <si>
    <t>2B</t>
  </si>
  <si>
    <t>4B</t>
  </si>
  <si>
    <t>B</t>
  </si>
  <si>
    <t>6B</t>
  </si>
  <si>
    <t>Rayon</t>
  </si>
  <si>
    <t>Avant</t>
  </si>
  <si>
    <t>Derrière</t>
  </si>
  <si>
    <t>Pas deformé</t>
  </si>
  <si>
    <t xml:space="preserve">R </t>
  </si>
  <si>
    <t>R -1</t>
  </si>
  <si>
    <t>R-2</t>
  </si>
  <si>
    <t>R-3</t>
  </si>
  <si>
    <t>R-4</t>
  </si>
  <si>
    <t>R-5</t>
  </si>
  <si>
    <t>5219604.50</t>
  </si>
  <si>
    <t>TENSION</t>
  </si>
  <si>
    <t>e (mm)</t>
  </si>
  <si>
    <t>160g.m-2</t>
  </si>
  <si>
    <t>COMPRESSION</t>
  </si>
  <si>
    <t>Crayon HB</t>
  </si>
  <si>
    <t>Numéro cercle</t>
  </si>
  <si>
    <t>Rayon (mm)</t>
  </si>
  <si>
    <t>Courbure (mm-1)</t>
  </si>
  <si>
    <t>Déformation</t>
  </si>
  <si>
    <t>Resistance (Ohm)</t>
  </si>
  <si>
    <t>Crayon 2B</t>
  </si>
  <si>
    <t>Crayon 4B</t>
  </si>
  <si>
    <t>Crayon 6B</t>
  </si>
  <si>
    <t>∆R/R0 (HB)</t>
  </si>
  <si>
    <t>∆R/R0 (2B)</t>
  </si>
  <si>
    <t>∆R/R0 (4B)</t>
  </si>
  <si>
    <t>∆R/R0 (6B)</t>
  </si>
  <si>
    <t>∆R/R0 (flex)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</si>
</sst>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Arial Unicode MS"/>
      <family val="2"/>
    </font>
    <font>
      <sz val="12"/>
      <color theme="1"/>
      <name val="Calibri"/>
      <family val="2"/>
      <scheme val="minor"/>
    </font>
    <font>
      <sz val="12"/>
      <color theme="1"/>
      <name val="Arial Unicode MS"/>
      <family val="2"/>
    </font>
    <font>
      <sz val="11"/>
      <name val="Calibri"/>
      <family val="2"/>
      <scheme val="minor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Variation de la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résistance en fonction de la déformation en tension</a:t>
            </a:r>
            <a:endParaRPr lang="fr-FR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47003499562555E-2"/>
          <c:y val="0.16708333333333336"/>
          <c:w val="0.86052296587926513"/>
          <c:h val="0.67145778652668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Tension!$H$6</c:f>
              <c:strCache>
                <c:ptCount val="1"/>
                <c:pt idx="0">
                  <c:v>∆R/R0 (HB)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Tension!$D$7:$D$13</c:f>
              <c:numCache>
                <c:formatCode>General</c:formatCode>
                <c:ptCount val="7"/>
                <c:pt idx="0">
                  <c:v>0</c:v>
                </c:pt>
                <c:pt idx="1">
                  <c:v>4.4444444444444444E-3</c:v>
                </c:pt>
                <c:pt idx="2">
                  <c:v>5.0000000000000001E-3</c:v>
                </c:pt>
                <c:pt idx="3">
                  <c:v>5.7142857142857143E-3</c:v>
                </c:pt>
                <c:pt idx="4">
                  <c:v>6.6666666666666671E-3</c:v>
                </c:pt>
                <c:pt idx="5">
                  <c:v>8.0000000000000002E-3</c:v>
                </c:pt>
                <c:pt idx="6">
                  <c:v>0.01</c:v>
                </c:pt>
              </c:numCache>
            </c:numRef>
          </c:xVal>
          <c:yVal>
            <c:numRef>
              <c:f>Tension!$H$7:$H$13</c:f>
              <c:numCache>
                <c:formatCode>General</c:formatCode>
                <c:ptCount val="7"/>
                <c:pt idx="0">
                  <c:v>0</c:v>
                </c:pt>
                <c:pt idx="1">
                  <c:v>0.11541184723997078</c:v>
                </c:pt>
                <c:pt idx="2">
                  <c:v>0.17042258736496815</c:v>
                </c:pt>
                <c:pt idx="3">
                  <c:v>0.20236485235502452</c:v>
                </c:pt>
                <c:pt idx="4">
                  <c:v>0.20592143851112032</c:v>
                </c:pt>
                <c:pt idx="5">
                  <c:v>0.25204306252586306</c:v>
                </c:pt>
                <c:pt idx="6">
                  <c:v>0.28700258610978141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0A-47E5-8C3E-53A45574BEDD}"/>
            </c:ext>
          </c:extLst>
        </c:ser>
        <c:ser>
          <c:idx val="1"/>
          <c:order val="1"/>
          <c:tx>
            <c:strRef>
              <c:f>Tension!$I$6</c:f>
              <c:strCache>
                <c:ptCount val="1"/>
                <c:pt idx="0">
                  <c:v>∆R/R0 (2B)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0"/>
          </c:trendline>
          <c:xVal>
            <c:numRef>
              <c:f>Tension!$D$7:$D$13</c:f>
              <c:numCache>
                <c:formatCode>General</c:formatCode>
                <c:ptCount val="7"/>
                <c:pt idx="0">
                  <c:v>0</c:v>
                </c:pt>
                <c:pt idx="1">
                  <c:v>4.4444444444444444E-3</c:v>
                </c:pt>
                <c:pt idx="2">
                  <c:v>5.0000000000000001E-3</c:v>
                </c:pt>
                <c:pt idx="3">
                  <c:v>5.7142857142857143E-3</c:v>
                </c:pt>
                <c:pt idx="4">
                  <c:v>6.6666666666666671E-3</c:v>
                </c:pt>
                <c:pt idx="5">
                  <c:v>8.0000000000000002E-3</c:v>
                </c:pt>
                <c:pt idx="6">
                  <c:v>0.01</c:v>
                </c:pt>
              </c:numCache>
            </c:numRef>
          </c:xVal>
          <c:yVal>
            <c:numRef>
              <c:f>Tension!$I$7:$I$13</c:f>
              <c:numCache>
                <c:formatCode>General</c:formatCode>
                <c:ptCount val="7"/>
                <c:pt idx="0">
                  <c:v>0</c:v>
                </c:pt>
                <c:pt idx="1">
                  <c:v>0.23961180202212204</c:v>
                </c:pt>
                <c:pt idx="2">
                  <c:v>0.34722349930222068</c:v>
                </c:pt>
                <c:pt idx="3">
                  <c:v>0.26123287371331505</c:v>
                </c:pt>
                <c:pt idx="4">
                  <c:v>0.38249031028965891</c:v>
                </c:pt>
                <c:pt idx="5">
                  <c:v>0.36249960829058869</c:v>
                </c:pt>
                <c:pt idx="6">
                  <c:v>0.48323196108404559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0A-47E5-8C3E-53A45574BEDD}"/>
            </c:ext>
          </c:extLst>
        </c:ser>
        <c:ser>
          <c:idx val="2"/>
          <c:order val="2"/>
          <c:tx>
            <c:strRef>
              <c:f>Tension!$J$6</c:f>
              <c:strCache>
                <c:ptCount val="1"/>
                <c:pt idx="0">
                  <c:v>∆R/R0 (4B)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Tension!$D$7:$D$13</c:f>
              <c:numCache>
                <c:formatCode>General</c:formatCode>
                <c:ptCount val="7"/>
                <c:pt idx="0">
                  <c:v>0</c:v>
                </c:pt>
                <c:pt idx="1">
                  <c:v>4.4444444444444444E-3</c:v>
                </c:pt>
                <c:pt idx="2">
                  <c:v>5.0000000000000001E-3</c:v>
                </c:pt>
                <c:pt idx="3">
                  <c:v>5.7142857142857143E-3</c:v>
                </c:pt>
                <c:pt idx="4">
                  <c:v>6.6666666666666671E-3</c:v>
                </c:pt>
                <c:pt idx="5">
                  <c:v>8.0000000000000002E-3</c:v>
                </c:pt>
                <c:pt idx="6">
                  <c:v>0.01</c:v>
                </c:pt>
              </c:numCache>
            </c:numRef>
          </c:xVal>
          <c:yVal>
            <c:numRef>
              <c:f>Tension!$J$7:$J$13</c:f>
              <c:numCache>
                <c:formatCode>General</c:formatCode>
                <c:ptCount val="7"/>
                <c:pt idx="0">
                  <c:v>0</c:v>
                </c:pt>
                <c:pt idx="1">
                  <c:v>9.3084453214492241E-2</c:v>
                </c:pt>
                <c:pt idx="2">
                  <c:v>0.10685844946202699</c:v>
                </c:pt>
                <c:pt idx="3">
                  <c:v>0.11864017028614769</c:v>
                </c:pt>
                <c:pt idx="4">
                  <c:v>0.13196963197194217</c:v>
                </c:pt>
                <c:pt idx="5">
                  <c:v>0.16017345288999887</c:v>
                </c:pt>
                <c:pt idx="6">
                  <c:v>0.21570695300746334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0A-47E5-8C3E-53A45574BEDD}"/>
            </c:ext>
          </c:extLst>
        </c:ser>
        <c:ser>
          <c:idx val="3"/>
          <c:order val="3"/>
          <c:tx>
            <c:strRef>
              <c:f>Tension!$K$6</c:f>
              <c:strCache>
                <c:ptCount val="1"/>
                <c:pt idx="0">
                  <c:v>∆R/R0 (6B)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Tension!$D$7:$D$13</c:f>
              <c:numCache>
                <c:formatCode>General</c:formatCode>
                <c:ptCount val="7"/>
                <c:pt idx="0">
                  <c:v>0</c:v>
                </c:pt>
                <c:pt idx="1">
                  <c:v>4.4444444444444444E-3</c:v>
                </c:pt>
                <c:pt idx="2">
                  <c:v>5.0000000000000001E-3</c:v>
                </c:pt>
                <c:pt idx="3">
                  <c:v>5.7142857142857143E-3</c:v>
                </c:pt>
                <c:pt idx="4">
                  <c:v>6.6666666666666671E-3</c:v>
                </c:pt>
                <c:pt idx="5">
                  <c:v>8.0000000000000002E-3</c:v>
                </c:pt>
                <c:pt idx="6">
                  <c:v>0.01</c:v>
                </c:pt>
              </c:numCache>
            </c:numRef>
          </c:xVal>
          <c:yVal>
            <c:numRef>
              <c:f>Tension!$K$7:$K$13</c:f>
              <c:numCache>
                <c:formatCode>General</c:formatCode>
                <c:ptCount val="7"/>
                <c:pt idx="0">
                  <c:v>0</c:v>
                </c:pt>
                <c:pt idx="1">
                  <c:v>-3.1396598442688851E-4</c:v>
                </c:pt>
                <c:pt idx="2">
                  <c:v>-3.1416532790906431E-4</c:v>
                </c:pt>
                <c:pt idx="3">
                  <c:v>-1.3744733096021563E-4</c:v>
                </c:pt>
                <c:pt idx="4">
                  <c:v>-7.8740675459441873E-5</c:v>
                </c:pt>
                <c:pt idx="5">
                  <c:v>-2.159886629374817E-4</c:v>
                </c:pt>
                <c:pt idx="6">
                  <c:v>-4.3247568458040293E-4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0A-47E5-8C3E-53A45574BEDD}"/>
            </c:ext>
          </c:extLst>
        </c:ser>
        <c:ser>
          <c:idx val="4"/>
          <c:order val="4"/>
          <c:tx>
            <c:strRef>
              <c:f>Tension!$L$6</c:f>
              <c:strCache>
                <c:ptCount val="1"/>
                <c:pt idx="0">
                  <c:v>∆R/R0 (flex)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0"/>
          </c:trendline>
          <c:xVal>
            <c:numRef>
              <c:f>Tension!$D$7:$D$13</c:f>
              <c:numCache>
                <c:formatCode>General</c:formatCode>
                <c:ptCount val="7"/>
                <c:pt idx="0">
                  <c:v>0</c:v>
                </c:pt>
                <c:pt idx="1">
                  <c:v>4.4444444444444444E-3</c:v>
                </c:pt>
                <c:pt idx="2">
                  <c:v>5.0000000000000001E-3</c:v>
                </c:pt>
                <c:pt idx="3">
                  <c:v>5.7142857142857143E-3</c:v>
                </c:pt>
                <c:pt idx="4">
                  <c:v>6.6666666666666671E-3</c:v>
                </c:pt>
                <c:pt idx="5">
                  <c:v>8.0000000000000002E-3</c:v>
                </c:pt>
                <c:pt idx="6">
                  <c:v>0.01</c:v>
                </c:pt>
              </c:numCache>
            </c:numRef>
          </c:xVal>
          <c:yVal>
            <c:numRef>
              <c:f>Tension!$L$7:$L$13</c:f>
              <c:numCache>
                <c:formatCode>General</c:formatCode>
                <c:ptCount val="7"/>
                <c:pt idx="0">
                  <c:v>0</c:v>
                </c:pt>
                <c:pt idx="1">
                  <c:v>0.47683389966020373</c:v>
                </c:pt>
                <c:pt idx="2">
                  <c:v>0.50785528682790304</c:v>
                </c:pt>
                <c:pt idx="3">
                  <c:v>0.52898927310280497</c:v>
                </c:pt>
                <c:pt idx="4">
                  <c:v>0.56987807315610628</c:v>
                </c:pt>
                <c:pt idx="5">
                  <c:v>0.6096208941301885</c:v>
                </c:pt>
                <c:pt idx="6">
                  <c:v>0.64919048570857474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80A-47E5-8C3E-53A45574B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15247"/>
        <c:axId val="164518127"/>
      </c:scatterChart>
      <c:valAx>
        <c:axId val="164515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518127"/>
        <c:crosses val="autoZero"/>
        <c:crossBetween val="midCat"/>
      </c:valAx>
      <c:valAx>
        <c:axId val="16451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515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Variation de la résistance en fonction de la déformation en compression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Compression!$G$5</c:f>
              <c:strCache>
                <c:ptCount val="1"/>
                <c:pt idx="0">
                  <c:v>∆R/R0 (HB)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0"/>
          </c:trendline>
          <c:xVal>
            <c:numRef>
              <c:f>Compression!$D$6:$D$12</c:f>
              <c:numCache>
                <c:formatCode>General</c:formatCode>
                <c:ptCount val="7"/>
                <c:pt idx="0">
                  <c:v>0</c:v>
                </c:pt>
                <c:pt idx="1">
                  <c:v>4.2222222222222227E-3</c:v>
                </c:pt>
                <c:pt idx="2">
                  <c:v>4.7499999999999999E-3</c:v>
                </c:pt>
                <c:pt idx="3">
                  <c:v>5.4285714285714284E-3</c:v>
                </c:pt>
                <c:pt idx="4">
                  <c:v>6.3333333333333332E-3</c:v>
                </c:pt>
                <c:pt idx="5">
                  <c:v>7.6E-3</c:v>
                </c:pt>
                <c:pt idx="6">
                  <c:v>9.4999999999999998E-3</c:v>
                </c:pt>
              </c:numCache>
            </c:numRef>
          </c:xVal>
          <c:yVal>
            <c:numRef>
              <c:f>Compression!$G$6:$G$12</c:f>
              <c:numCache>
                <c:formatCode>General</c:formatCode>
                <c:ptCount val="7"/>
                <c:pt idx="0">
                  <c:v>0</c:v>
                </c:pt>
                <c:pt idx="1">
                  <c:v>-0.47772619678754979</c:v>
                </c:pt>
                <c:pt idx="2">
                  <c:v>-0.46358649584641703</c:v>
                </c:pt>
                <c:pt idx="3">
                  <c:v>-0.48724715734325075</c:v>
                </c:pt>
                <c:pt idx="4">
                  <c:v>-0.60385923494690463</c:v>
                </c:pt>
                <c:pt idx="5">
                  <c:v>-0.66836618428490546</c:v>
                </c:pt>
                <c:pt idx="6">
                  <c:v>-0.68234999371847282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4D-44BB-A05B-6280E5500FE2}"/>
            </c:ext>
          </c:extLst>
        </c:ser>
        <c:ser>
          <c:idx val="1"/>
          <c:order val="1"/>
          <c:tx>
            <c:strRef>
              <c:f>Compression!$H$5</c:f>
              <c:strCache>
                <c:ptCount val="1"/>
                <c:pt idx="0">
                  <c:v>∆R/R0 (2B)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0"/>
          </c:trendline>
          <c:xVal>
            <c:numRef>
              <c:f>Compression!$D$6:$D$12</c:f>
              <c:numCache>
                <c:formatCode>General</c:formatCode>
                <c:ptCount val="7"/>
                <c:pt idx="0">
                  <c:v>0</c:v>
                </c:pt>
                <c:pt idx="1">
                  <c:v>4.2222222222222227E-3</c:v>
                </c:pt>
                <c:pt idx="2">
                  <c:v>4.7499999999999999E-3</c:v>
                </c:pt>
                <c:pt idx="3">
                  <c:v>5.4285714285714284E-3</c:v>
                </c:pt>
                <c:pt idx="4">
                  <c:v>6.3333333333333332E-3</c:v>
                </c:pt>
                <c:pt idx="5">
                  <c:v>7.6E-3</c:v>
                </c:pt>
                <c:pt idx="6">
                  <c:v>9.4999999999999998E-3</c:v>
                </c:pt>
              </c:numCache>
            </c:numRef>
          </c:xVal>
          <c:yVal>
            <c:numRef>
              <c:f>Compression!$H$6:$H$12</c:f>
              <c:numCache>
                <c:formatCode>General</c:formatCode>
                <c:ptCount val="7"/>
                <c:pt idx="0">
                  <c:v>0</c:v>
                </c:pt>
                <c:pt idx="1">
                  <c:v>5.3069177384480068E-2</c:v>
                </c:pt>
                <c:pt idx="2">
                  <c:v>3.0546208188508169E-2</c:v>
                </c:pt>
                <c:pt idx="3">
                  <c:v>2.3617695048750113E-2</c:v>
                </c:pt>
                <c:pt idx="4">
                  <c:v>-1.4221734570834584E-2</c:v>
                </c:pt>
                <c:pt idx="5">
                  <c:v>-3.2475006793207049E-2</c:v>
                </c:pt>
                <c:pt idx="6">
                  <c:v>-5.9304418525086361E-2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4D-44BB-A05B-6280E5500FE2}"/>
            </c:ext>
          </c:extLst>
        </c:ser>
        <c:ser>
          <c:idx val="2"/>
          <c:order val="2"/>
          <c:tx>
            <c:strRef>
              <c:f>Compression!$I$5</c:f>
              <c:strCache>
                <c:ptCount val="1"/>
                <c:pt idx="0">
                  <c:v>∆R/R0 (4B)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Compression!$D$6:$D$12</c:f>
              <c:numCache>
                <c:formatCode>General</c:formatCode>
                <c:ptCount val="7"/>
                <c:pt idx="0">
                  <c:v>0</c:v>
                </c:pt>
                <c:pt idx="1">
                  <c:v>4.2222222222222227E-3</c:v>
                </c:pt>
                <c:pt idx="2">
                  <c:v>4.7499999999999999E-3</c:v>
                </c:pt>
                <c:pt idx="3">
                  <c:v>5.4285714285714284E-3</c:v>
                </c:pt>
                <c:pt idx="4">
                  <c:v>6.3333333333333332E-3</c:v>
                </c:pt>
                <c:pt idx="5">
                  <c:v>7.6E-3</c:v>
                </c:pt>
                <c:pt idx="6">
                  <c:v>9.4999999999999998E-3</c:v>
                </c:pt>
              </c:numCache>
            </c:numRef>
          </c:xVal>
          <c:yVal>
            <c:numRef>
              <c:f>Compression!$I$6:$I$12</c:f>
              <c:numCache>
                <c:formatCode>General</c:formatCode>
                <c:ptCount val="7"/>
                <c:pt idx="0">
                  <c:v>0</c:v>
                </c:pt>
                <c:pt idx="1">
                  <c:v>-4.6606201199381435E-2</c:v>
                </c:pt>
                <c:pt idx="2">
                  <c:v>-6.263343589408224E-2</c:v>
                </c:pt>
                <c:pt idx="3">
                  <c:v>-7.4992083144223259E-2</c:v>
                </c:pt>
                <c:pt idx="4">
                  <c:v>-8.7213984703675015E-2</c:v>
                </c:pt>
                <c:pt idx="5">
                  <c:v>-0.10190210678994334</c:v>
                </c:pt>
                <c:pt idx="6">
                  <c:v>-0.11300880681343622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4D-44BB-A05B-6280E5500FE2}"/>
            </c:ext>
          </c:extLst>
        </c:ser>
        <c:ser>
          <c:idx val="3"/>
          <c:order val="3"/>
          <c:tx>
            <c:strRef>
              <c:f>Compression!$J$5</c:f>
              <c:strCache>
                <c:ptCount val="1"/>
                <c:pt idx="0">
                  <c:v>∆R/R0 (6B)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Compression!$D$6:$D$12</c:f>
              <c:numCache>
                <c:formatCode>General</c:formatCode>
                <c:ptCount val="7"/>
                <c:pt idx="0">
                  <c:v>0</c:v>
                </c:pt>
                <c:pt idx="1">
                  <c:v>4.2222222222222227E-3</c:v>
                </c:pt>
                <c:pt idx="2">
                  <c:v>4.7499999999999999E-3</c:v>
                </c:pt>
                <c:pt idx="3">
                  <c:v>5.4285714285714284E-3</c:v>
                </c:pt>
                <c:pt idx="4">
                  <c:v>6.3333333333333332E-3</c:v>
                </c:pt>
                <c:pt idx="5">
                  <c:v>7.6E-3</c:v>
                </c:pt>
                <c:pt idx="6">
                  <c:v>9.4999999999999998E-3</c:v>
                </c:pt>
              </c:numCache>
            </c:numRef>
          </c:xVal>
          <c:yVal>
            <c:numRef>
              <c:f>Compression!$J$6:$J$12</c:f>
              <c:numCache>
                <c:formatCode>General</c:formatCode>
                <c:ptCount val="7"/>
                <c:pt idx="0">
                  <c:v>0</c:v>
                </c:pt>
                <c:pt idx="1">
                  <c:v>-3.9280633162741828E-4</c:v>
                </c:pt>
                <c:pt idx="2">
                  <c:v>-9.7977321489406793E-5</c:v>
                </c:pt>
                <c:pt idx="3">
                  <c:v>-1.9834676476492319E-5</c:v>
                </c:pt>
                <c:pt idx="4">
                  <c:v>-1.7681766868993655E-4</c:v>
                </c:pt>
                <c:pt idx="5">
                  <c:v>-4.1244166462173475E-4</c:v>
                </c:pt>
                <c:pt idx="6">
                  <c:v>-1.5738167917779585E-4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4D-44BB-A05B-6280E5500FE2}"/>
            </c:ext>
          </c:extLst>
        </c:ser>
        <c:ser>
          <c:idx val="4"/>
          <c:order val="4"/>
          <c:tx>
            <c:strRef>
              <c:f>Compression!$K$5</c:f>
              <c:strCache>
                <c:ptCount val="1"/>
                <c:pt idx="0">
                  <c:v>∆R/R0 (flex)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Compression!$D$6:$D$12</c:f>
              <c:numCache>
                <c:formatCode>General</c:formatCode>
                <c:ptCount val="7"/>
                <c:pt idx="0">
                  <c:v>0</c:v>
                </c:pt>
                <c:pt idx="1">
                  <c:v>4.2222222222222227E-3</c:v>
                </c:pt>
                <c:pt idx="2">
                  <c:v>4.7499999999999999E-3</c:v>
                </c:pt>
                <c:pt idx="3">
                  <c:v>5.4285714285714284E-3</c:v>
                </c:pt>
                <c:pt idx="4">
                  <c:v>6.3333333333333332E-3</c:v>
                </c:pt>
                <c:pt idx="5">
                  <c:v>7.6E-3</c:v>
                </c:pt>
                <c:pt idx="6">
                  <c:v>9.4999999999999998E-3</c:v>
                </c:pt>
              </c:numCache>
            </c:numRef>
          </c:xVal>
          <c:yVal>
            <c:numRef>
              <c:f>Compression!$K$6:$K$12</c:f>
              <c:numCache>
                <c:formatCode>General</c:formatCode>
                <c:ptCount val="7"/>
                <c:pt idx="0">
                  <c:v>0</c:v>
                </c:pt>
                <c:pt idx="1">
                  <c:v>-0.20037977213671795</c:v>
                </c:pt>
                <c:pt idx="2">
                  <c:v>-0.21047371577053772</c:v>
                </c:pt>
                <c:pt idx="3">
                  <c:v>-0.26331534412685725</c:v>
                </c:pt>
                <c:pt idx="4">
                  <c:v>-0.26901192617762676</c:v>
                </c:pt>
                <c:pt idx="5">
                  <c:v>-0.27057099073889007</c:v>
                </c:pt>
                <c:pt idx="6">
                  <c:v>-0.2808914651209275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44D-44BB-A05B-6280E5500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42127"/>
        <c:axId val="164548367"/>
      </c:scatterChart>
      <c:valAx>
        <c:axId val="16454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548367"/>
        <c:crosses val="autoZero"/>
        <c:crossBetween val="midCat"/>
      </c:valAx>
      <c:valAx>
        <c:axId val="16454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542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655320</xdr:colOff>
      <xdr:row>17</xdr:row>
      <xdr:rowOff>156210</xdr:rowOff>
    </xdr:from>
    <xdr:to>
      <xdr:col>14</xdr:col>
      <xdr:colOff>510540</xdr:colOff>
      <xdr:row>41</xdr:row>
      <xdr:rowOff>45720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B7777A9-4936-9EEE-C284-4B84EF06E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175260</xdr:colOff>
      <xdr:row>14</xdr:row>
      <xdr:rowOff>118110</xdr:rowOff>
    </xdr:from>
    <xdr:to>
      <xdr:col>13</xdr:col>
      <xdr:colOff>609600</xdr:colOff>
      <xdr:row>34</xdr:row>
      <xdr:rowOff>152400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5D0C41F-0339-9293-ACAA-A854A549C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opLeftCell="A3" workbookViewId="0">
      <selection activeCell="I3" sqref="I3"/>
    </sheetView>
  </sheetViews>
  <sheetFormatPr baseColWidth="10" defaultColWidth="8.88671875" defaultRowHeight="14.4" x14ac:dyDescent="0.3"/>
  <cols>
    <col min="1" max="1" width="12.5546875" bestFit="1" customWidth="1"/>
    <col min="2" max="2" width="13.21875" bestFit="1" customWidth="1"/>
    <col min="3" max="3" width="12.109375" bestFit="1" customWidth="1"/>
    <col min="4" max="4" width="13.21875" bestFit="1" customWidth="1"/>
    <col min="5" max="5" width="12.109375" bestFit="1" customWidth="1"/>
    <col min="6" max="6" width="12" bestFit="1" customWidth="1"/>
    <col min="7" max="7" width="10.88671875" bestFit="1" customWidth="1"/>
    <col min="8" max="8" width="12" bestFit="1" customWidth="1"/>
    <col min="9" max="9" width="9" customWidth="1"/>
    <col min="10" max="11" width="10.77734375" bestFit="1" customWidth="1"/>
    <col min="12" max="13" width="9.5546875" bestFit="1" customWidth="1"/>
  </cols>
  <sheetData>
    <row r="1" spans="1:13" ht="15.6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 t="s">
        <v>1</v>
      </c>
      <c r="M1" s="2"/>
    </row>
    <row r="2" spans="1:13" ht="15.6" x14ac:dyDescent="0.3">
      <c r="A2" s="1"/>
      <c r="B2" s="2" t="s">
        <v>2</v>
      </c>
      <c r="C2" s="2"/>
      <c r="D2" s="2" t="s">
        <v>3</v>
      </c>
      <c r="E2" s="2"/>
      <c r="F2" s="2" t="s">
        <v>4</v>
      </c>
      <c r="G2" s="2"/>
      <c r="H2" s="2" t="s">
        <v>5</v>
      </c>
      <c r="I2" s="2"/>
      <c r="J2" s="2" t="s">
        <v>6</v>
      </c>
      <c r="K2" s="2"/>
      <c r="L2" s="3"/>
      <c r="M2" s="3"/>
    </row>
    <row r="3" spans="1:13" ht="15.6" x14ac:dyDescent="0.3">
      <c r="A3" s="1" t="s">
        <v>7</v>
      </c>
      <c r="B3" s="1" t="s">
        <v>8</v>
      </c>
      <c r="C3" s="1" t="s">
        <v>9</v>
      </c>
      <c r="D3" s="1" t="s">
        <v>8</v>
      </c>
      <c r="E3" s="1" t="s">
        <v>9</v>
      </c>
      <c r="F3" s="1" t="s">
        <v>8</v>
      </c>
      <c r="G3" s="1" t="s">
        <v>9</v>
      </c>
      <c r="H3" s="1" t="s">
        <v>8</v>
      </c>
      <c r="I3" s="1" t="s">
        <v>9</v>
      </c>
      <c r="J3" s="1" t="s">
        <v>8</v>
      </c>
      <c r="K3" s="1" t="s">
        <v>9</v>
      </c>
      <c r="L3" s="1" t="s">
        <v>8</v>
      </c>
      <c r="M3" s="1" t="s">
        <v>9</v>
      </c>
    </row>
    <row r="4" spans="1:13" ht="16.8" x14ac:dyDescent="0.3">
      <c r="A4" s="7" t="s">
        <v>10</v>
      </c>
      <c r="B4" s="9">
        <v>558265792</v>
      </c>
      <c r="C4" s="9"/>
      <c r="D4" s="9">
        <v>454481216</v>
      </c>
      <c r="E4" s="9"/>
      <c r="F4" s="9">
        <v>80236648</v>
      </c>
      <c r="G4" s="9"/>
      <c r="H4" s="9">
        <v>39640232</v>
      </c>
      <c r="I4" s="9"/>
      <c r="J4" s="4">
        <v>80263472</v>
      </c>
      <c r="K4" s="4"/>
      <c r="L4" s="4">
        <v>1109.4000000000001</v>
      </c>
      <c r="M4" s="4"/>
    </row>
    <row r="5" spans="1:13" ht="16.8" x14ac:dyDescent="0.3">
      <c r="A5" s="7" t="s">
        <v>11</v>
      </c>
      <c r="B5" s="10">
        <v>552904448</v>
      </c>
      <c r="C5" s="10">
        <v>509312384</v>
      </c>
      <c r="D5" s="10">
        <v>535345024</v>
      </c>
      <c r="E5" s="10">
        <v>526350048</v>
      </c>
      <c r="F5" s="10">
        <v>80231944</v>
      </c>
      <c r="G5" s="10">
        <v>80257136</v>
      </c>
      <c r="H5" s="10">
        <v>49445408</v>
      </c>
      <c r="I5" s="10">
        <v>385209.31</v>
      </c>
      <c r="J5" s="5">
        <v>80238272</v>
      </c>
      <c r="K5" s="5">
        <v>80231944</v>
      </c>
      <c r="L5" s="5">
        <v>2216.58</v>
      </c>
      <c r="M5" s="5">
        <v>1200.1500000000001</v>
      </c>
    </row>
    <row r="6" spans="1:13" ht="16.8" x14ac:dyDescent="0.3">
      <c r="A6" s="7" t="s">
        <v>12</v>
      </c>
      <c r="B6" s="10">
        <v>702961856</v>
      </c>
      <c r="C6" s="10">
        <v>558713472</v>
      </c>
      <c r="D6" s="10">
        <v>562016320</v>
      </c>
      <c r="E6" s="10">
        <v>460420576</v>
      </c>
      <c r="F6" s="10">
        <v>80271368</v>
      </c>
      <c r="G6" s="10">
        <v>80255584</v>
      </c>
      <c r="H6" s="10">
        <v>52809552</v>
      </c>
      <c r="I6" s="10">
        <v>385102.56</v>
      </c>
      <c r="J6" s="5">
        <v>80238256</v>
      </c>
      <c r="K6" s="5">
        <v>80255608</v>
      </c>
      <c r="L6" s="5">
        <v>2263.14</v>
      </c>
      <c r="M6" s="5">
        <v>1185</v>
      </c>
    </row>
    <row r="7" spans="1:13" ht="16.8" x14ac:dyDescent="0.3">
      <c r="A7" s="7" t="s">
        <v>13</v>
      </c>
      <c r="B7" s="10">
        <v>800258304</v>
      </c>
      <c r="C7" s="10">
        <v>668751488</v>
      </c>
      <c r="D7" s="10">
        <v>599260864</v>
      </c>
      <c r="E7" s="10">
        <v>505670688</v>
      </c>
      <c r="F7" s="10">
        <v>80260320</v>
      </c>
      <c r="G7" s="10">
        <v>80247704</v>
      </c>
      <c r="H7" s="10">
        <v>52286920</v>
      </c>
      <c r="I7" s="10">
        <v>385121.96</v>
      </c>
      <c r="J7" s="5">
        <v>80252440</v>
      </c>
      <c r="K7" s="5">
        <v>80261880</v>
      </c>
      <c r="L7" s="5">
        <v>2294.86</v>
      </c>
      <c r="M7" s="5">
        <v>1105.69</v>
      </c>
    </row>
    <row r="8" spans="1:13" ht="16.8" x14ac:dyDescent="0.3">
      <c r="A8" s="7" t="s">
        <v>14</v>
      </c>
      <c r="B8" s="10">
        <v>823527104</v>
      </c>
      <c r="C8" s="10">
        <v>697712960</v>
      </c>
      <c r="D8" s="10">
        <v>630649472</v>
      </c>
      <c r="E8" s="10">
        <v>447743584</v>
      </c>
      <c r="F8" s="10">
        <v>80250880</v>
      </c>
      <c r="G8" s="10">
        <v>80258728</v>
      </c>
      <c r="H8" s="10">
        <v>54853100</v>
      </c>
      <c r="I8" s="10">
        <v>324136.65000000002</v>
      </c>
      <c r="J8" s="5">
        <v>80257152</v>
      </c>
      <c r="K8" s="5">
        <v>80249280</v>
      </c>
      <c r="L8" s="5">
        <v>2356.23</v>
      </c>
      <c r="M8" s="5">
        <v>1097.1400000000001</v>
      </c>
    </row>
    <row r="9" spans="1:13" ht="16.8" x14ac:dyDescent="0.3">
      <c r="A9" s="7" t="s">
        <v>15</v>
      </c>
      <c r="B9" s="10">
        <v>995241152</v>
      </c>
      <c r="C9" s="10">
        <v>731566656</v>
      </c>
      <c r="D9" s="10">
        <v>661064896</v>
      </c>
      <c r="E9" s="10">
        <v>442166528</v>
      </c>
      <c r="F9" s="10">
        <v>80246104</v>
      </c>
      <c r="G9" s="10">
        <v>80244520</v>
      </c>
      <c r="H9" s="10">
        <v>72254728</v>
      </c>
      <c r="I9" s="10">
        <v>385180.28</v>
      </c>
      <c r="J9" s="5">
        <v>80246136</v>
      </c>
      <c r="K9" s="5">
        <v>80230368</v>
      </c>
      <c r="L9" s="5">
        <v>2415.88</v>
      </c>
      <c r="M9" s="5">
        <v>1094.8</v>
      </c>
    </row>
    <row r="10" spans="1:13" ht="16.8" x14ac:dyDescent="0.3">
      <c r="A10" s="7" t="s">
        <v>16</v>
      </c>
      <c r="B10" s="10">
        <v>1858133376</v>
      </c>
      <c r="C10" s="10">
        <v>800019328</v>
      </c>
      <c r="D10" s="10">
        <v>776613952</v>
      </c>
      <c r="E10" s="10">
        <v>10016331</v>
      </c>
      <c r="F10" s="10">
        <v>80242968</v>
      </c>
      <c r="G10" s="10">
        <v>80257136</v>
      </c>
      <c r="H10" s="10">
        <v>177406544</v>
      </c>
      <c r="I10" s="10">
        <v>385092.9</v>
      </c>
      <c r="J10" s="5">
        <v>80228760</v>
      </c>
      <c r="K10" s="5">
        <v>80250840</v>
      </c>
      <c r="L10" s="5">
        <v>2475.27</v>
      </c>
      <c r="M10" s="5">
        <v>1079.31</v>
      </c>
    </row>
    <row r="11" spans="1:13" ht="15.6" x14ac:dyDescent="0.3">
      <c r="A11" s="7"/>
      <c r="B11" s="7"/>
      <c r="C11" s="7"/>
      <c r="D11" s="7"/>
      <c r="E11" s="7"/>
      <c r="F11" s="7"/>
      <c r="G11" s="7"/>
      <c r="H11" s="7"/>
      <c r="I11" s="7"/>
      <c r="J11" s="1"/>
      <c r="K11" s="1"/>
      <c r="L11" s="1"/>
      <c r="M11" s="1"/>
    </row>
    <row r="12" spans="1:13" ht="16.8" x14ac:dyDescent="0.3">
      <c r="A12" s="7">
        <v>0</v>
      </c>
      <c r="B12" s="10" t="s">
        <v>17</v>
      </c>
      <c r="C12" s="7"/>
      <c r="D12" s="10">
        <v>4664388</v>
      </c>
      <c r="E12" s="7"/>
      <c r="F12" s="10">
        <v>90035744</v>
      </c>
      <c r="G12" s="7"/>
      <c r="H12" s="7"/>
      <c r="I12" s="7"/>
      <c r="J12" s="1"/>
      <c r="K12" s="1"/>
      <c r="L12" s="1"/>
      <c r="M12" s="1"/>
    </row>
    <row r="13" spans="1:13" ht="16.8" x14ac:dyDescent="0.35">
      <c r="A13" s="7"/>
      <c r="B13" s="10">
        <v>6747392.5</v>
      </c>
      <c r="C13" s="12">
        <v>4300229</v>
      </c>
      <c r="D13" s="10">
        <v>6013810</v>
      </c>
      <c r="E13" s="10">
        <v>3855406</v>
      </c>
      <c r="F13" s="10">
        <v>98416672</v>
      </c>
      <c r="G13" s="10">
        <v>8583952</v>
      </c>
      <c r="H13" s="7"/>
      <c r="I13" s="7"/>
      <c r="J13" s="1"/>
      <c r="K13" s="1"/>
      <c r="L13" s="1"/>
      <c r="M13" s="1"/>
    </row>
    <row r="14" spans="1:13" ht="16.8" x14ac:dyDescent="0.35">
      <c r="A14" s="7"/>
      <c r="B14" s="10">
        <v>7217555</v>
      </c>
      <c r="C14" s="12">
        <v>4489515</v>
      </c>
      <c r="D14" s="10">
        <v>6409588</v>
      </c>
      <c r="E14" s="10">
        <v>3916352</v>
      </c>
      <c r="F14" s="10">
        <v>99656824</v>
      </c>
      <c r="G14" s="10">
        <v>84396496</v>
      </c>
      <c r="H14" s="7"/>
      <c r="I14" s="7"/>
      <c r="J14" s="1"/>
      <c r="K14" s="1"/>
      <c r="L14" s="1"/>
      <c r="M14" s="1"/>
    </row>
    <row r="15" spans="1:13" ht="16.8" x14ac:dyDescent="0.35">
      <c r="A15" s="7"/>
      <c r="B15" s="10">
        <v>7663155</v>
      </c>
      <c r="C15" s="12">
        <v>4608203</v>
      </c>
      <c r="D15" s="10">
        <v>6949213.5</v>
      </c>
      <c r="E15" s="10">
        <v>3842862</v>
      </c>
      <c r="F15" s="10">
        <v>100717600</v>
      </c>
      <c r="G15" s="10">
        <v>83283776</v>
      </c>
      <c r="H15" s="7"/>
      <c r="I15" s="7"/>
      <c r="J15" s="1"/>
      <c r="K15" s="1"/>
      <c r="L15" s="1"/>
      <c r="M15" s="1"/>
    </row>
    <row r="16" spans="1:13" ht="16.8" x14ac:dyDescent="0.35">
      <c r="A16" s="7"/>
      <c r="B16" s="10">
        <v>9574142</v>
      </c>
      <c r="C16" s="12">
        <v>4228821</v>
      </c>
      <c r="D16" s="10">
        <v>7358972</v>
      </c>
      <c r="E16" s="10">
        <v>3837904</v>
      </c>
      <c r="F16" s="10">
        <v>101917728</v>
      </c>
      <c r="G16" s="10">
        <v>82183368</v>
      </c>
      <c r="H16" s="7"/>
      <c r="I16" s="7"/>
      <c r="J16" s="1"/>
      <c r="K16" s="1"/>
      <c r="L16" s="1"/>
      <c r="M16" s="1"/>
    </row>
    <row r="17" spans="1:13" ht="16.8" x14ac:dyDescent="0.35">
      <c r="A17" s="7"/>
      <c r="B17" s="10">
        <v>9834716</v>
      </c>
      <c r="C17" s="12">
        <v>4490534</v>
      </c>
      <c r="D17" s="10">
        <v>10401389</v>
      </c>
      <c r="E17" s="10">
        <v>3542836</v>
      </c>
      <c r="F17" s="10">
        <v>104457080</v>
      </c>
      <c r="G17" s="10">
        <v>80860912</v>
      </c>
      <c r="H17" s="7"/>
      <c r="I17" s="7"/>
      <c r="J17" s="1"/>
      <c r="K17" s="1"/>
      <c r="L17" s="1"/>
      <c r="M17" s="1"/>
    </row>
    <row r="18" spans="1:13" ht="16.8" x14ac:dyDescent="0.35">
      <c r="A18" s="7"/>
      <c r="B18" s="10">
        <v>15192310</v>
      </c>
      <c r="C18" s="12">
        <v>4535741</v>
      </c>
      <c r="D18" s="10">
        <v>11724390</v>
      </c>
      <c r="E18" s="10">
        <v>4060743</v>
      </c>
      <c r="F18" s="7"/>
      <c r="G18" s="7"/>
      <c r="H18" s="7"/>
      <c r="I18" s="7"/>
      <c r="J18" s="1"/>
      <c r="K18" s="1"/>
      <c r="L18" s="1"/>
      <c r="M18" s="1"/>
    </row>
    <row r="19" spans="1:13" ht="15.6" x14ac:dyDescent="0.3">
      <c r="A19" s="7"/>
      <c r="B19" s="7"/>
      <c r="C19" s="7"/>
      <c r="D19" s="7"/>
      <c r="E19" s="7"/>
      <c r="F19" s="7"/>
      <c r="G19" s="7"/>
      <c r="H19" s="7"/>
      <c r="I19" s="7"/>
      <c r="J19" s="1"/>
      <c r="K19" s="1"/>
      <c r="L19" s="1"/>
      <c r="M19" s="1"/>
    </row>
    <row r="20" spans="1:13" ht="16.8" x14ac:dyDescent="0.3">
      <c r="A20" s="7">
        <v>0</v>
      </c>
      <c r="B20" s="10">
        <v>286045088</v>
      </c>
      <c r="C20" s="7"/>
      <c r="D20" s="7">
        <v>745450560</v>
      </c>
      <c r="E20" s="7"/>
      <c r="F20" s="7"/>
      <c r="G20" s="7"/>
      <c r="H20" s="7"/>
      <c r="I20" s="7"/>
      <c r="J20" s="6"/>
      <c r="K20" s="6"/>
      <c r="L20" s="6"/>
      <c r="M20" s="6"/>
    </row>
    <row r="21" spans="1:13" ht="16.8" x14ac:dyDescent="0.3">
      <c r="A21" s="11"/>
      <c r="B21" s="10">
        <v>319058080</v>
      </c>
      <c r="C21" s="10">
        <v>94862224</v>
      </c>
      <c r="D21" s="10">
        <v>924069312</v>
      </c>
      <c r="E21" s="10">
        <v>785011008</v>
      </c>
      <c r="F21" s="7"/>
      <c r="G21" s="7"/>
      <c r="H21" s="7"/>
      <c r="I21" s="7"/>
      <c r="J21" s="6"/>
      <c r="K21" s="6"/>
      <c r="L21" s="6"/>
      <c r="M21" s="6"/>
    </row>
    <row r="22" spans="1:13" ht="16.8" x14ac:dyDescent="0.3">
      <c r="A22" s="7"/>
      <c r="B22" s="10">
        <v>334793632</v>
      </c>
      <c r="C22" s="10">
        <v>113314120</v>
      </c>
      <c r="D22" s="10">
        <v>1004288512</v>
      </c>
      <c r="E22" s="10">
        <v>768221248</v>
      </c>
      <c r="F22" s="7"/>
      <c r="G22" s="7"/>
      <c r="H22" s="7"/>
      <c r="I22" s="7"/>
      <c r="J22" s="6"/>
      <c r="K22" s="6"/>
      <c r="L22" s="6"/>
      <c r="M22" s="6"/>
    </row>
    <row r="23" spans="1:13" ht="16.8" x14ac:dyDescent="0.3">
      <c r="A23" s="11"/>
      <c r="B23" s="10">
        <v>343930560</v>
      </c>
      <c r="C23" s="10">
        <v>156670432</v>
      </c>
      <c r="D23" s="10">
        <v>940186752</v>
      </c>
      <c r="E23" s="10">
        <v>763056384</v>
      </c>
      <c r="F23" s="7"/>
      <c r="G23" s="7"/>
      <c r="H23" s="11"/>
      <c r="I23" s="11"/>
    </row>
    <row r="24" spans="1:13" ht="16.8" x14ac:dyDescent="0.3">
      <c r="A24" s="11"/>
      <c r="B24" s="10">
        <v>344947904</v>
      </c>
      <c r="C24" s="10">
        <v>153438448</v>
      </c>
      <c r="D24" s="10">
        <v>1030578176</v>
      </c>
      <c r="E24" s="10">
        <v>734848960</v>
      </c>
      <c r="F24" s="7"/>
      <c r="G24" s="7"/>
      <c r="H24" s="11"/>
      <c r="I24" s="11"/>
    </row>
    <row r="25" spans="1:13" ht="16.8" x14ac:dyDescent="0.3">
      <c r="A25" s="11"/>
      <c r="B25" s="10">
        <v>358140768</v>
      </c>
      <c r="C25" s="10">
        <v>149393856</v>
      </c>
      <c r="D25" s="10">
        <v>1015676096</v>
      </c>
      <c r="E25" s="10">
        <v>721242048</v>
      </c>
      <c r="F25" s="7"/>
      <c r="G25" s="7"/>
      <c r="H25" s="11"/>
      <c r="I25" s="11"/>
    </row>
    <row r="26" spans="1:13" ht="16.8" x14ac:dyDescent="0.3">
      <c r="A26" s="11">
        <v>0</v>
      </c>
      <c r="B26" s="10">
        <v>909235584</v>
      </c>
      <c r="C26" s="7"/>
      <c r="D26" s="10">
        <v>917479616</v>
      </c>
      <c r="E26" s="7"/>
      <c r="F26" s="7"/>
      <c r="G26" s="7"/>
      <c r="H26" s="11"/>
      <c r="I26" s="11"/>
    </row>
    <row r="27" spans="1:13" ht="16.8" x14ac:dyDescent="0.3">
      <c r="A27" s="11"/>
      <c r="B27" s="10">
        <v>1017667840</v>
      </c>
      <c r="C27" s="10">
        <v>488450080</v>
      </c>
      <c r="D27" s="10">
        <v>1116123776</v>
      </c>
      <c r="E27" s="10">
        <v>894391552</v>
      </c>
      <c r="F27" s="7"/>
      <c r="G27" s="7"/>
      <c r="H27" s="11"/>
      <c r="I27" s="11"/>
    </row>
    <row r="28" spans="1:13" ht="16.8" x14ac:dyDescent="0.3">
      <c r="A28" s="11"/>
      <c r="B28" s="10">
        <v>1047685952</v>
      </c>
      <c r="C28" s="10">
        <v>481524832</v>
      </c>
      <c r="D28" s="10">
        <v>1156140032</v>
      </c>
      <c r="E28" s="10">
        <v>860907136</v>
      </c>
      <c r="F28" s="7"/>
      <c r="G28" s="7"/>
      <c r="H28" s="11"/>
      <c r="I28" s="11"/>
    </row>
    <row r="29" spans="1:13" ht="16.8" x14ac:dyDescent="0.3">
      <c r="A29" s="11"/>
      <c r="B29" s="10">
        <v>967882368</v>
      </c>
      <c r="C29" s="10">
        <v>465273472</v>
      </c>
      <c r="D29" s="10">
        <v>1169798400</v>
      </c>
      <c r="E29" s="10">
        <v>856394112</v>
      </c>
      <c r="F29" s="7"/>
      <c r="G29" s="7"/>
      <c r="H29" s="11"/>
      <c r="I29" s="11"/>
    </row>
    <row r="30" spans="1:13" ht="16.8" x14ac:dyDescent="0.3">
      <c r="A30" s="11"/>
      <c r="B30" s="10">
        <v>1269782144</v>
      </c>
      <c r="C30" s="10">
        <v>455542144</v>
      </c>
      <c r="D30" s="10">
        <v>1120320128</v>
      </c>
      <c r="E30" s="10">
        <v>831215872</v>
      </c>
      <c r="F30" s="7"/>
      <c r="G30" s="7"/>
      <c r="H30" s="11"/>
      <c r="I30" s="11"/>
    </row>
    <row r="31" spans="1:13" ht="16.8" x14ac:dyDescent="0.3">
      <c r="A31" s="11"/>
      <c r="B31" s="10">
        <v>1263083776</v>
      </c>
      <c r="C31" s="10">
        <v>444716352</v>
      </c>
      <c r="D31" s="10">
        <v>1140718592</v>
      </c>
      <c r="E31" s="10">
        <v>828353024</v>
      </c>
      <c r="F31" s="7"/>
      <c r="G31" s="7"/>
      <c r="H31" s="11"/>
      <c r="I31" s="11"/>
    </row>
    <row r="32" spans="1:13" x14ac:dyDescent="0.3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3">
      <c r="A33" s="11"/>
      <c r="B33" s="11"/>
      <c r="C33" s="11"/>
      <c r="D33" s="11"/>
      <c r="E33" s="11"/>
      <c r="F33" s="11"/>
      <c r="G33" s="11"/>
      <c r="H33" s="11"/>
      <c r="I33" s="11"/>
    </row>
  </sheetData>
  <mergeCells count="13">
    <mergeCell ref="B4:C4"/>
    <mergeCell ref="D4:E4"/>
    <mergeCell ref="F4:G4"/>
    <mergeCell ref="H4:I4"/>
    <mergeCell ref="J4:K4"/>
    <mergeCell ref="L4:M4"/>
    <mergeCell ref="B1:K1"/>
    <mergeCell ref="L1:M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307D4-557E-4D47-8906-72661B2701A1}">
  <dimension ref="A1:M59"/>
  <sheetViews>
    <sheetView topLeftCell="A37" workbookViewId="0">
      <selection activeCell="I11" sqref="I11"/>
    </sheetView>
  </sheetViews>
  <sheetFormatPr baseColWidth="10" defaultRowHeight="14.4" x14ac:dyDescent="0.3"/>
  <cols>
    <col min="1" max="1" width="13" bestFit="1" customWidth="1"/>
    <col min="2" max="2" width="10.77734375" bestFit="1" customWidth="1"/>
    <col min="3" max="3" width="14.88671875" bestFit="1" customWidth="1"/>
    <col min="4" max="4" width="11.44140625" bestFit="1" customWidth="1"/>
    <col min="5" max="5" width="15.109375" bestFit="1" customWidth="1"/>
  </cols>
  <sheetData>
    <row r="1" spans="1:13" x14ac:dyDescent="0.3">
      <c r="A1" s="15" t="s">
        <v>18</v>
      </c>
      <c r="B1" s="15"/>
      <c r="C1" s="15"/>
      <c r="D1" s="15"/>
      <c r="E1" s="15"/>
      <c r="F1" s="8"/>
      <c r="G1" s="8"/>
      <c r="H1" s="8"/>
      <c r="I1" s="8"/>
      <c r="J1" s="8"/>
      <c r="K1" s="8"/>
      <c r="L1" s="8"/>
      <c r="M1" s="8"/>
    </row>
    <row r="2" spans="1:13" x14ac:dyDescent="0.3">
      <c r="A2" s="16" t="s">
        <v>19</v>
      </c>
      <c r="B2" s="16">
        <v>0.2</v>
      </c>
      <c r="C2" s="16" t="s">
        <v>20</v>
      </c>
      <c r="D2" s="13"/>
      <c r="E2" s="13"/>
      <c r="F2" s="8"/>
      <c r="G2" s="8"/>
      <c r="H2" s="8"/>
      <c r="I2" s="8"/>
      <c r="J2" s="8"/>
      <c r="K2" s="8"/>
      <c r="L2" s="8"/>
      <c r="M2" s="8"/>
    </row>
    <row r="3" spans="1:13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3">
      <c r="A5" s="14" t="s">
        <v>22</v>
      </c>
      <c r="B5" s="13"/>
      <c r="C5" s="13"/>
      <c r="D5" s="13"/>
      <c r="E5" s="13"/>
      <c r="F5" s="8"/>
      <c r="G5" s="8"/>
      <c r="H5" s="8"/>
      <c r="I5" s="8"/>
      <c r="J5" s="8"/>
      <c r="K5" s="8"/>
      <c r="L5" s="8"/>
      <c r="M5" s="8"/>
    </row>
    <row r="6" spans="1:13" x14ac:dyDescent="0.3">
      <c r="A6" s="17" t="s">
        <v>23</v>
      </c>
      <c r="B6" s="17" t="s">
        <v>24</v>
      </c>
      <c r="C6" s="17" t="s">
        <v>25</v>
      </c>
      <c r="D6" s="17" t="s">
        <v>26</v>
      </c>
      <c r="E6" s="17" t="s">
        <v>27</v>
      </c>
      <c r="F6" s="8"/>
      <c r="G6" s="8"/>
      <c r="H6" s="19" t="s">
        <v>31</v>
      </c>
      <c r="I6" s="19" t="s">
        <v>32</v>
      </c>
      <c r="J6" s="19" t="s">
        <v>33</v>
      </c>
      <c r="K6" s="19" t="s">
        <v>34</v>
      </c>
      <c r="L6" s="19" t="s">
        <v>35</v>
      </c>
      <c r="M6" s="8"/>
    </row>
    <row r="7" spans="1:13" x14ac:dyDescent="0.3">
      <c r="A7" s="13">
        <v>0</v>
      </c>
      <c r="B7" s="13"/>
      <c r="C7" s="13">
        <v>0</v>
      </c>
      <c r="D7" s="13">
        <v>0</v>
      </c>
      <c r="E7" s="18">
        <v>286045088</v>
      </c>
      <c r="F7" s="8"/>
      <c r="G7" s="8"/>
      <c r="H7" s="8">
        <v>0</v>
      </c>
      <c r="I7" s="8">
        <v>0</v>
      </c>
      <c r="J7" s="8">
        <v>0</v>
      </c>
      <c r="K7" s="8">
        <v>0</v>
      </c>
      <c r="L7" s="8">
        <v>0</v>
      </c>
      <c r="M7" s="8"/>
    </row>
    <row r="8" spans="1:13" x14ac:dyDescent="0.3">
      <c r="A8" s="13">
        <v>1</v>
      </c>
      <c r="B8" s="13">
        <v>22.5</v>
      </c>
      <c r="C8" s="13">
        <f t="shared" ref="C8:C13" si="0">1/B8</f>
        <v>4.4444444444444446E-2</v>
      </c>
      <c r="D8" s="13">
        <f t="shared" ref="D8:D13" si="1">B$2/(2*B8)</f>
        <v>4.4444444444444444E-3</v>
      </c>
      <c r="E8" s="18">
        <v>319058080</v>
      </c>
      <c r="F8" s="8"/>
      <c r="G8" s="8"/>
      <c r="H8" s="8">
        <f>(E8-E$7)/E$7</f>
        <v>0.11541184723997078</v>
      </c>
      <c r="I8" s="8">
        <f>(E19-E$18)/E$18</f>
        <v>0.23961180202212204</v>
      </c>
      <c r="J8" s="8">
        <f>(E30-E$29)/E$29</f>
        <v>9.3084453214492241E-2</v>
      </c>
      <c r="K8" s="8">
        <f>(E40-E$39)/E$39</f>
        <v>-3.1396598442688851E-4</v>
      </c>
      <c r="L8" s="8">
        <f>(E50-E$49)/E$49</f>
        <v>0.47683389966020373</v>
      </c>
      <c r="M8" s="8"/>
    </row>
    <row r="9" spans="1:13" x14ac:dyDescent="0.3">
      <c r="A9" s="13">
        <v>2</v>
      </c>
      <c r="B9" s="13">
        <v>20</v>
      </c>
      <c r="C9" s="13">
        <f t="shared" si="0"/>
        <v>0.05</v>
      </c>
      <c r="D9" s="13">
        <f t="shared" si="1"/>
        <v>5.0000000000000001E-3</v>
      </c>
      <c r="E9" s="18">
        <v>334793632</v>
      </c>
      <c r="F9" s="8"/>
      <c r="G9" s="8"/>
      <c r="H9" s="8">
        <f>(E9-E$7)/E$7</f>
        <v>0.17042258736496815</v>
      </c>
      <c r="I9" s="8">
        <f>(E20-E$18)/E$18</f>
        <v>0.34722349930222068</v>
      </c>
      <c r="J9" s="8">
        <f>(E31-E$29)/E$29</f>
        <v>0.10685844946202699</v>
      </c>
      <c r="K9" s="8">
        <f>(E41-E$39)/E$39</f>
        <v>-3.1416532790906431E-4</v>
      </c>
      <c r="L9" s="8">
        <f>(E51-E$49)/E$49</f>
        <v>0.50785528682790304</v>
      </c>
      <c r="M9" s="8"/>
    </row>
    <row r="10" spans="1:13" x14ac:dyDescent="0.3">
      <c r="A10" s="13">
        <v>3</v>
      </c>
      <c r="B10" s="13">
        <v>17.5</v>
      </c>
      <c r="C10" s="13">
        <f t="shared" si="0"/>
        <v>5.7142857142857141E-2</v>
      </c>
      <c r="D10" s="13">
        <f t="shared" si="1"/>
        <v>5.7142857142857143E-3</v>
      </c>
      <c r="E10" s="18">
        <v>343930560</v>
      </c>
      <c r="F10" s="8"/>
      <c r="G10" s="8"/>
      <c r="H10" s="8">
        <f>(E10-E$7)/E$7</f>
        <v>0.20236485235502452</v>
      </c>
      <c r="I10" s="8">
        <f>(E21-E$18)/E$18</f>
        <v>0.26123287371331505</v>
      </c>
      <c r="J10" s="8">
        <f>(E32-E$29)/E$29</f>
        <v>0.11864017028614769</v>
      </c>
      <c r="K10" s="8">
        <f>(E42-E$39)/E$39</f>
        <v>-1.3744733096021563E-4</v>
      </c>
      <c r="L10" s="8">
        <f>(E52-E$49)/E$49</f>
        <v>0.52898927310280497</v>
      </c>
      <c r="M10" s="8"/>
    </row>
    <row r="11" spans="1:13" x14ac:dyDescent="0.3">
      <c r="A11" s="13">
        <v>4</v>
      </c>
      <c r="B11" s="13">
        <v>15</v>
      </c>
      <c r="C11" s="13">
        <f t="shared" si="0"/>
        <v>6.6666666666666666E-2</v>
      </c>
      <c r="D11" s="13">
        <f t="shared" si="1"/>
        <v>6.6666666666666671E-3</v>
      </c>
      <c r="E11" s="18">
        <v>344947904</v>
      </c>
      <c r="F11" s="8"/>
      <c r="G11" s="8"/>
      <c r="H11" s="8">
        <f>(E11-E$7)/E$7</f>
        <v>0.20592143851112032</v>
      </c>
      <c r="I11" s="8">
        <f>(E22-E$18)/E$18</f>
        <v>0.38249031028965891</v>
      </c>
      <c r="J11" s="8">
        <f>(E33-E$29)/E$29</f>
        <v>0.13196963197194217</v>
      </c>
      <c r="K11" s="8">
        <f>(E43-E$39)/E$39</f>
        <v>-7.8740675459441873E-5</v>
      </c>
      <c r="L11" s="8">
        <f>(E53-E$49)/E$49</f>
        <v>0.56987807315610628</v>
      </c>
      <c r="M11" s="8"/>
    </row>
    <row r="12" spans="1:13" x14ac:dyDescent="0.3">
      <c r="A12" s="13">
        <v>5</v>
      </c>
      <c r="B12" s="13">
        <v>12.5</v>
      </c>
      <c r="C12" s="13">
        <f t="shared" si="0"/>
        <v>0.08</v>
      </c>
      <c r="D12" s="13">
        <f t="shared" si="1"/>
        <v>8.0000000000000002E-3</v>
      </c>
      <c r="E12" s="18">
        <v>358140768</v>
      </c>
      <c r="F12" s="8"/>
      <c r="G12" s="8"/>
      <c r="H12" s="8">
        <f>(E12-E$7)/E$7</f>
        <v>0.25204306252586306</v>
      </c>
      <c r="I12" s="8">
        <f>(E23-E$18)/E$18</f>
        <v>0.36249960829058869</v>
      </c>
      <c r="J12" s="8">
        <f>(E34-E$29)/E$29</f>
        <v>0.16017345288999887</v>
      </c>
      <c r="K12" s="8">
        <f>(E44-E$39)/E$39</f>
        <v>-2.159886629374817E-4</v>
      </c>
      <c r="L12" s="8">
        <f>(E54-E$49)/E$49</f>
        <v>0.6096208941301885</v>
      </c>
      <c r="M12" s="8"/>
    </row>
    <row r="13" spans="1:13" x14ac:dyDescent="0.3">
      <c r="A13" s="13">
        <v>6</v>
      </c>
      <c r="B13" s="13">
        <v>10</v>
      </c>
      <c r="C13" s="13">
        <f t="shared" si="0"/>
        <v>0.1</v>
      </c>
      <c r="D13" s="13">
        <f t="shared" si="1"/>
        <v>0.01</v>
      </c>
      <c r="E13" s="11">
        <v>368140768</v>
      </c>
      <c r="F13" s="8"/>
      <c r="G13" s="8"/>
      <c r="H13" s="8">
        <f>(E13-E$7)/E$7</f>
        <v>0.28700258610978141</v>
      </c>
      <c r="I13" s="8">
        <f>(E24-E$18)/E$18</f>
        <v>0.48323196108404559</v>
      </c>
      <c r="J13" s="8">
        <f>(E35-E$29)/E$29</f>
        <v>0.21570695300746334</v>
      </c>
      <c r="K13" s="8">
        <f>(E45-E$39)/E$39</f>
        <v>-4.3247568458040293E-4</v>
      </c>
      <c r="L13" s="8">
        <f>(E55-E$49)/E$49</f>
        <v>0.64919048570857474</v>
      </c>
      <c r="M13" s="8"/>
    </row>
    <row r="14" spans="1:13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x14ac:dyDescent="0.3">
      <c r="A16" s="14" t="s">
        <v>28</v>
      </c>
      <c r="B16" s="13"/>
      <c r="C16" s="13"/>
      <c r="D16" s="13"/>
      <c r="E16" s="13"/>
      <c r="F16" s="8"/>
      <c r="G16" s="8"/>
      <c r="H16" s="8"/>
      <c r="I16" s="8"/>
      <c r="J16" s="8"/>
      <c r="K16" s="8"/>
      <c r="L16" s="8"/>
      <c r="M16" s="8"/>
    </row>
    <row r="17" spans="1:13" x14ac:dyDescent="0.3">
      <c r="A17" s="17" t="s">
        <v>23</v>
      </c>
      <c r="B17" s="17" t="s">
        <v>24</v>
      </c>
      <c r="C17" s="17" t="s">
        <v>25</v>
      </c>
      <c r="D17" s="17" t="s">
        <v>26</v>
      </c>
      <c r="E17" s="17" t="s">
        <v>27</v>
      </c>
      <c r="F17" s="8"/>
      <c r="G17" s="8"/>
      <c r="H17" s="8"/>
      <c r="I17" s="8"/>
      <c r="J17" s="8"/>
      <c r="K17" s="8"/>
      <c r="L17" s="8"/>
      <c r="M17" s="8"/>
    </row>
    <row r="18" spans="1:13" x14ac:dyDescent="0.3">
      <c r="A18" s="13">
        <v>0</v>
      </c>
      <c r="B18" s="13"/>
      <c r="C18" s="13">
        <v>0</v>
      </c>
      <c r="D18" s="13">
        <v>0</v>
      </c>
      <c r="E18" s="11">
        <v>745450560</v>
      </c>
      <c r="F18" s="8"/>
      <c r="G18" s="8"/>
      <c r="H18" s="8"/>
      <c r="I18" s="8"/>
      <c r="J18" s="8"/>
      <c r="K18" s="8"/>
      <c r="L18" s="8"/>
      <c r="M18" s="8"/>
    </row>
    <row r="19" spans="1:13" x14ac:dyDescent="0.3">
      <c r="A19" s="13">
        <v>1</v>
      </c>
      <c r="B19" s="13">
        <v>22.5</v>
      </c>
      <c r="C19" s="13">
        <f t="shared" ref="C19:C24" si="2">1/B19</f>
        <v>4.4444444444444446E-2</v>
      </c>
      <c r="D19" s="13">
        <f t="shared" ref="D19:D24" si="3">B$2/(2*B19)</f>
        <v>4.4444444444444444E-3</v>
      </c>
      <c r="E19" s="18">
        <v>924069312</v>
      </c>
      <c r="F19" s="8"/>
      <c r="G19" s="8"/>
      <c r="H19" s="8"/>
      <c r="I19" s="8"/>
      <c r="J19" s="8"/>
      <c r="K19" s="8"/>
      <c r="L19" s="8"/>
      <c r="M19" s="8"/>
    </row>
    <row r="20" spans="1:13" x14ac:dyDescent="0.3">
      <c r="A20" s="13">
        <v>2</v>
      </c>
      <c r="B20" s="13">
        <v>20</v>
      </c>
      <c r="C20" s="13">
        <f t="shared" si="2"/>
        <v>0.05</v>
      </c>
      <c r="D20" s="13">
        <f t="shared" si="3"/>
        <v>5.0000000000000001E-3</v>
      </c>
      <c r="E20" s="18">
        <v>1004288512</v>
      </c>
      <c r="F20" s="8"/>
      <c r="G20" s="8"/>
      <c r="H20" s="8"/>
      <c r="I20" s="8"/>
      <c r="J20" s="8"/>
      <c r="K20" s="8"/>
      <c r="L20" s="8"/>
      <c r="M20" s="8"/>
    </row>
    <row r="21" spans="1:13" x14ac:dyDescent="0.3">
      <c r="A21" s="13">
        <v>3</v>
      </c>
      <c r="B21" s="13">
        <v>17.5</v>
      </c>
      <c r="C21" s="13">
        <f t="shared" si="2"/>
        <v>5.7142857142857141E-2</v>
      </c>
      <c r="D21" s="13">
        <f t="shared" si="3"/>
        <v>5.7142857142857143E-3</v>
      </c>
      <c r="E21" s="18">
        <v>940186752</v>
      </c>
      <c r="F21" s="8"/>
      <c r="G21" s="8"/>
      <c r="H21" s="8"/>
      <c r="I21" s="8"/>
      <c r="J21" s="8"/>
      <c r="K21" s="8"/>
      <c r="L21" s="8"/>
      <c r="M21" s="8"/>
    </row>
    <row r="22" spans="1:13" x14ac:dyDescent="0.3">
      <c r="A22" s="13">
        <v>4</v>
      </c>
      <c r="B22" s="13">
        <v>15</v>
      </c>
      <c r="C22" s="13">
        <f t="shared" si="2"/>
        <v>6.6666666666666666E-2</v>
      </c>
      <c r="D22" s="13">
        <f t="shared" si="3"/>
        <v>6.6666666666666671E-3</v>
      </c>
      <c r="E22" s="18">
        <v>1030578176</v>
      </c>
      <c r="F22" s="8"/>
      <c r="G22" s="8"/>
      <c r="H22" s="8"/>
      <c r="I22" s="8"/>
      <c r="J22" s="8"/>
      <c r="K22" s="8"/>
      <c r="L22" s="8"/>
      <c r="M22" s="8"/>
    </row>
    <row r="23" spans="1:13" x14ac:dyDescent="0.3">
      <c r="A23" s="13">
        <v>5</v>
      </c>
      <c r="B23" s="13">
        <v>12.5</v>
      </c>
      <c r="C23" s="13">
        <f t="shared" si="2"/>
        <v>0.08</v>
      </c>
      <c r="D23" s="13">
        <f t="shared" si="3"/>
        <v>8.0000000000000002E-3</v>
      </c>
      <c r="E23" s="18">
        <v>1015676096</v>
      </c>
      <c r="F23" s="8"/>
      <c r="G23" s="8"/>
      <c r="H23" s="8"/>
      <c r="I23" s="8"/>
      <c r="J23" s="8"/>
      <c r="K23" s="8"/>
      <c r="L23" s="8"/>
      <c r="M23" s="8"/>
    </row>
    <row r="24" spans="1:13" x14ac:dyDescent="0.3">
      <c r="A24" s="13">
        <v>6</v>
      </c>
      <c r="B24" s="13">
        <v>10</v>
      </c>
      <c r="C24" s="13">
        <f t="shared" si="2"/>
        <v>0.1</v>
      </c>
      <c r="D24" s="13">
        <f t="shared" si="3"/>
        <v>0.01</v>
      </c>
      <c r="E24" s="11">
        <v>1105676096</v>
      </c>
      <c r="F24" s="8"/>
      <c r="G24" s="8"/>
      <c r="H24" s="8"/>
      <c r="I24" s="8"/>
      <c r="J24" s="8"/>
      <c r="K24" s="8"/>
      <c r="L24" s="8"/>
      <c r="M24" s="8"/>
    </row>
    <row r="25" spans="1:13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 x14ac:dyDescent="0.3">
      <c r="A27" s="14" t="s">
        <v>29</v>
      </c>
      <c r="B27" s="13"/>
      <c r="C27" s="13"/>
      <c r="D27" s="13"/>
      <c r="E27" s="13"/>
      <c r="F27" s="8"/>
      <c r="G27" s="8"/>
      <c r="H27" s="8"/>
      <c r="I27" s="8"/>
      <c r="J27" s="8"/>
      <c r="K27" s="8"/>
      <c r="L27" s="8"/>
      <c r="M27" s="8"/>
    </row>
    <row r="28" spans="1:13" x14ac:dyDescent="0.3">
      <c r="A28" s="17" t="s">
        <v>23</v>
      </c>
      <c r="B28" s="17" t="s">
        <v>24</v>
      </c>
      <c r="C28" s="17" t="s">
        <v>25</v>
      </c>
      <c r="D28" s="17" t="s">
        <v>26</v>
      </c>
      <c r="E28" s="17" t="s">
        <v>27</v>
      </c>
      <c r="F28" s="8"/>
      <c r="G28" s="8"/>
      <c r="H28" s="8"/>
      <c r="I28" s="8"/>
      <c r="J28" s="8"/>
      <c r="K28" s="8"/>
      <c r="L28" s="8"/>
      <c r="M28" s="8"/>
    </row>
    <row r="29" spans="1:13" x14ac:dyDescent="0.3">
      <c r="A29" s="13">
        <v>0</v>
      </c>
      <c r="B29" s="13"/>
      <c r="C29" s="13">
        <v>0</v>
      </c>
      <c r="D29" s="13">
        <v>0</v>
      </c>
      <c r="E29" s="18">
        <v>90035744</v>
      </c>
      <c r="F29" s="8"/>
      <c r="G29" s="8"/>
      <c r="H29" s="8"/>
      <c r="I29" s="8"/>
      <c r="J29" s="8"/>
      <c r="K29" s="8"/>
      <c r="L29" s="8"/>
      <c r="M29" s="8"/>
    </row>
    <row r="30" spans="1:13" x14ac:dyDescent="0.3">
      <c r="A30" s="13">
        <v>1</v>
      </c>
      <c r="B30" s="13">
        <v>22.5</v>
      </c>
      <c r="C30" s="13">
        <f t="shared" ref="C30:C35" si="4">1/B30</f>
        <v>4.4444444444444446E-2</v>
      </c>
      <c r="D30" s="13">
        <f t="shared" ref="D30:D35" si="5">B$2/(2*B30)</f>
        <v>4.4444444444444444E-3</v>
      </c>
      <c r="E30" s="18">
        <v>98416672</v>
      </c>
      <c r="F30" s="8"/>
      <c r="G30" s="8"/>
      <c r="H30" s="8"/>
      <c r="I30" s="8"/>
      <c r="J30" s="8"/>
      <c r="K30" s="8"/>
      <c r="L30" s="8"/>
      <c r="M30" s="8"/>
    </row>
    <row r="31" spans="1:13" x14ac:dyDescent="0.3">
      <c r="A31" s="13">
        <v>2</v>
      </c>
      <c r="B31" s="13">
        <v>20</v>
      </c>
      <c r="C31" s="13">
        <f t="shared" si="4"/>
        <v>0.05</v>
      </c>
      <c r="D31" s="13">
        <f t="shared" si="5"/>
        <v>5.0000000000000001E-3</v>
      </c>
      <c r="E31" s="18">
        <v>99656824</v>
      </c>
      <c r="F31" s="8"/>
      <c r="G31" s="8"/>
      <c r="H31" s="8"/>
      <c r="I31" s="8"/>
      <c r="J31" s="8"/>
      <c r="K31" s="8"/>
      <c r="L31" s="8"/>
      <c r="M31" s="8"/>
    </row>
    <row r="32" spans="1:13" x14ac:dyDescent="0.3">
      <c r="A32" s="13">
        <v>3</v>
      </c>
      <c r="B32" s="13">
        <v>17.5</v>
      </c>
      <c r="C32" s="13">
        <f t="shared" si="4"/>
        <v>5.7142857142857141E-2</v>
      </c>
      <c r="D32" s="13">
        <f t="shared" si="5"/>
        <v>5.7142857142857143E-3</v>
      </c>
      <c r="E32" s="18">
        <v>100717600</v>
      </c>
      <c r="F32" s="8"/>
      <c r="G32" s="8"/>
      <c r="H32" s="8"/>
      <c r="I32" s="8"/>
      <c r="J32" s="8"/>
      <c r="K32" s="8"/>
      <c r="L32" s="8"/>
      <c r="M32" s="8"/>
    </row>
    <row r="33" spans="1:13" x14ac:dyDescent="0.3">
      <c r="A33" s="13">
        <v>4</v>
      </c>
      <c r="B33" s="13">
        <v>15</v>
      </c>
      <c r="C33" s="13">
        <f t="shared" si="4"/>
        <v>6.6666666666666666E-2</v>
      </c>
      <c r="D33" s="13">
        <f t="shared" si="5"/>
        <v>6.6666666666666671E-3</v>
      </c>
      <c r="E33" s="18">
        <v>101917728</v>
      </c>
      <c r="F33" s="8"/>
      <c r="G33" s="8"/>
      <c r="H33" s="8"/>
      <c r="I33" s="8"/>
      <c r="J33" s="8"/>
      <c r="K33" s="8"/>
      <c r="L33" s="8"/>
      <c r="M33" s="8"/>
    </row>
    <row r="34" spans="1:13" x14ac:dyDescent="0.3">
      <c r="A34" s="13">
        <v>5</v>
      </c>
      <c r="B34" s="13">
        <v>12.5</v>
      </c>
      <c r="C34" s="13">
        <f t="shared" si="4"/>
        <v>0.08</v>
      </c>
      <c r="D34" s="13">
        <f t="shared" si="5"/>
        <v>8.0000000000000002E-3</v>
      </c>
      <c r="E34" s="18">
        <v>104457080</v>
      </c>
      <c r="F34" s="8"/>
      <c r="G34" s="8"/>
      <c r="H34" s="8"/>
      <c r="I34" s="8"/>
      <c r="J34" s="8"/>
      <c r="K34" s="8"/>
      <c r="L34" s="8"/>
      <c r="M34" s="8"/>
    </row>
    <row r="35" spans="1:13" x14ac:dyDescent="0.3">
      <c r="A35" s="13">
        <v>6</v>
      </c>
      <c r="B35" s="13">
        <v>10</v>
      </c>
      <c r="C35" s="13">
        <f t="shared" si="4"/>
        <v>0.1</v>
      </c>
      <c r="D35" s="13">
        <f t="shared" si="5"/>
        <v>0.01</v>
      </c>
      <c r="E35" s="18">
        <v>109457080</v>
      </c>
      <c r="F35" s="8"/>
      <c r="G35" s="8"/>
      <c r="H35" s="8"/>
      <c r="I35" s="8"/>
      <c r="J35" s="8"/>
      <c r="K35" s="8"/>
      <c r="L35" s="8"/>
      <c r="M35" s="8"/>
    </row>
    <row r="36" spans="1:13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 x14ac:dyDescent="0.3">
      <c r="A37" s="14" t="s">
        <v>30</v>
      </c>
      <c r="B37" s="13"/>
      <c r="C37" s="13"/>
      <c r="D37" s="13"/>
      <c r="E37" s="13"/>
      <c r="F37" s="8"/>
      <c r="G37" s="8"/>
      <c r="H37" s="8"/>
      <c r="I37" s="8"/>
      <c r="J37" s="8"/>
      <c r="K37" s="8"/>
      <c r="L37" s="8"/>
      <c r="M37" s="8"/>
    </row>
    <row r="38" spans="1:13" x14ac:dyDescent="0.3">
      <c r="A38" s="17" t="s">
        <v>23</v>
      </c>
      <c r="B38" s="17" t="s">
        <v>24</v>
      </c>
      <c r="C38" s="17" t="s">
        <v>25</v>
      </c>
      <c r="D38" s="17" t="s">
        <v>26</v>
      </c>
      <c r="E38" s="17" t="s">
        <v>27</v>
      </c>
      <c r="F38" s="8"/>
      <c r="G38" s="8"/>
      <c r="H38" s="8"/>
      <c r="I38" s="8"/>
      <c r="J38" s="8"/>
      <c r="K38" s="8"/>
      <c r="L38" s="8"/>
      <c r="M38" s="8"/>
    </row>
    <row r="39" spans="1:13" x14ac:dyDescent="0.3">
      <c r="A39" s="13">
        <v>0</v>
      </c>
      <c r="B39" s="13"/>
      <c r="C39" s="13">
        <v>0</v>
      </c>
      <c r="D39" s="13">
        <v>0</v>
      </c>
      <c r="E39" s="11">
        <v>80263472</v>
      </c>
      <c r="F39" s="8"/>
      <c r="G39" s="8"/>
      <c r="H39" s="8"/>
      <c r="I39" s="8"/>
      <c r="J39" s="8"/>
      <c r="K39" s="8"/>
      <c r="L39" s="8"/>
      <c r="M39" s="8"/>
    </row>
    <row r="40" spans="1:13" x14ac:dyDescent="0.3">
      <c r="A40" s="13">
        <v>1</v>
      </c>
      <c r="B40" s="13">
        <v>22.5</v>
      </c>
      <c r="C40" s="13">
        <f t="shared" ref="C40:C45" si="6">1/B40</f>
        <v>4.4444444444444446E-2</v>
      </c>
      <c r="D40" s="13">
        <f t="shared" ref="D40:D45" si="7">B$2/(2*B40)</f>
        <v>4.4444444444444444E-3</v>
      </c>
      <c r="E40" s="20">
        <v>80238272</v>
      </c>
      <c r="F40" s="8"/>
      <c r="G40" s="8"/>
      <c r="H40" s="8"/>
      <c r="I40" s="8"/>
      <c r="J40" s="8"/>
      <c r="K40" s="8"/>
      <c r="L40" s="8"/>
      <c r="M40" s="8"/>
    </row>
    <row r="41" spans="1:13" x14ac:dyDescent="0.3">
      <c r="A41" s="13">
        <v>2</v>
      </c>
      <c r="B41" s="13">
        <v>20</v>
      </c>
      <c r="C41" s="13">
        <f t="shared" si="6"/>
        <v>0.05</v>
      </c>
      <c r="D41" s="13">
        <f t="shared" si="7"/>
        <v>5.0000000000000001E-3</v>
      </c>
      <c r="E41" s="20">
        <v>80238256</v>
      </c>
      <c r="F41" s="8"/>
      <c r="G41" s="8"/>
      <c r="H41" s="8"/>
      <c r="I41" s="8"/>
      <c r="J41" s="8"/>
      <c r="K41" s="8"/>
      <c r="L41" s="8"/>
      <c r="M41" s="8"/>
    </row>
    <row r="42" spans="1:13" x14ac:dyDescent="0.3">
      <c r="A42" s="13">
        <v>3</v>
      </c>
      <c r="B42" s="13">
        <v>17.5</v>
      </c>
      <c r="C42" s="13">
        <f t="shared" si="6"/>
        <v>5.7142857142857141E-2</v>
      </c>
      <c r="D42" s="13">
        <f t="shared" si="7"/>
        <v>5.7142857142857143E-3</v>
      </c>
      <c r="E42" s="20">
        <v>80252440</v>
      </c>
      <c r="F42" s="8"/>
      <c r="G42" s="8"/>
      <c r="H42" s="8"/>
      <c r="I42" s="8"/>
      <c r="J42" s="8"/>
      <c r="K42" s="8"/>
      <c r="L42" s="8"/>
      <c r="M42" s="8"/>
    </row>
    <row r="43" spans="1:13" x14ac:dyDescent="0.3">
      <c r="A43" s="13">
        <v>4</v>
      </c>
      <c r="B43" s="13">
        <v>15</v>
      </c>
      <c r="C43" s="13">
        <f t="shared" si="6"/>
        <v>6.6666666666666666E-2</v>
      </c>
      <c r="D43" s="13">
        <f t="shared" si="7"/>
        <v>6.6666666666666671E-3</v>
      </c>
      <c r="E43" s="20">
        <v>80257152</v>
      </c>
      <c r="F43" s="8"/>
      <c r="G43" s="8"/>
      <c r="H43" s="8"/>
      <c r="I43" s="8"/>
      <c r="J43" s="8"/>
      <c r="K43" s="8"/>
      <c r="L43" s="8"/>
      <c r="M43" s="8"/>
    </row>
    <row r="44" spans="1:13" x14ac:dyDescent="0.3">
      <c r="A44" s="13">
        <v>5</v>
      </c>
      <c r="B44" s="13">
        <v>12.5</v>
      </c>
      <c r="C44" s="13">
        <f t="shared" si="6"/>
        <v>0.08</v>
      </c>
      <c r="D44" s="13">
        <f t="shared" si="7"/>
        <v>8.0000000000000002E-3</v>
      </c>
      <c r="E44" s="20">
        <v>80246136</v>
      </c>
      <c r="F44" s="8"/>
      <c r="G44" s="8"/>
      <c r="H44" s="8"/>
      <c r="I44" s="8"/>
      <c r="J44" s="8"/>
      <c r="K44" s="8"/>
      <c r="L44" s="8"/>
      <c r="M44" s="8"/>
    </row>
    <row r="45" spans="1:13" x14ac:dyDescent="0.3">
      <c r="A45" s="13">
        <v>6</v>
      </c>
      <c r="B45" s="13">
        <v>10</v>
      </c>
      <c r="C45" s="13">
        <f t="shared" si="6"/>
        <v>0.1</v>
      </c>
      <c r="D45" s="13">
        <f t="shared" si="7"/>
        <v>0.01</v>
      </c>
      <c r="E45" s="20">
        <v>80228760</v>
      </c>
      <c r="F45" s="8"/>
      <c r="G45" s="8"/>
      <c r="H45" s="8"/>
      <c r="I45" s="8"/>
      <c r="J45" s="8"/>
      <c r="K45" s="8"/>
      <c r="L45" s="8"/>
      <c r="M45" s="8"/>
    </row>
    <row r="46" spans="1:13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13" x14ac:dyDescent="0.3">
      <c r="A47" s="14" t="s">
        <v>1</v>
      </c>
      <c r="B47" s="13"/>
      <c r="C47" s="13"/>
      <c r="D47" s="13"/>
      <c r="E47" s="13"/>
      <c r="F47" s="8"/>
      <c r="G47" s="8"/>
      <c r="H47" s="8"/>
      <c r="I47" s="8"/>
      <c r="J47" s="8"/>
      <c r="K47" s="8"/>
      <c r="L47" s="8"/>
      <c r="M47" s="8"/>
    </row>
    <row r="48" spans="1:13" x14ac:dyDescent="0.3">
      <c r="A48" s="17" t="s">
        <v>23</v>
      </c>
      <c r="B48" s="17" t="s">
        <v>24</v>
      </c>
      <c r="C48" s="17" t="s">
        <v>25</v>
      </c>
      <c r="D48" s="17" t="s">
        <v>26</v>
      </c>
      <c r="E48" s="17" t="s">
        <v>27</v>
      </c>
      <c r="F48" s="8"/>
      <c r="G48" s="8"/>
      <c r="H48" s="8"/>
      <c r="I48" s="8"/>
      <c r="J48" s="8"/>
      <c r="K48" s="8"/>
      <c r="L48" s="8"/>
      <c r="M48" s="8"/>
    </row>
    <row r="49" spans="1:13" x14ac:dyDescent="0.3">
      <c r="A49" s="13">
        <v>0</v>
      </c>
      <c r="B49" s="13"/>
      <c r="C49" s="13">
        <v>0</v>
      </c>
      <c r="D49" s="13">
        <v>0</v>
      </c>
      <c r="E49" s="8">
        <v>1500.9</v>
      </c>
      <c r="F49" s="8"/>
      <c r="G49" s="8"/>
      <c r="H49" s="8"/>
      <c r="I49" s="8"/>
      <c r="J49" s="8"/>
      <c r="K49" s="8"/>
      <c r="L49" s="8"/>
      <c r="M49" s="8"/>
    </row>
    <row r="50" spans="1:13" x14ac:dyDescent="0.3">
      <c r="A50" s="13">
        <v>1</v>
      </c>
      <c r="B50" s="13">
        <v>22.5</v>
      </c>
      <c r="C50" s="13">
        <f t="shared" ref="C50:C55" si="8">1/B50</f>
        <v>4.4444444444444446E-2</v>
      </c>
      <c r="D50" s="13">
        <f t="shared" ref="D50:D55" si="9">B$2/(2*B50)</f>
        <v>4.4444444444444444E-3</v>
      </c>
      <c r="E50" s="8">
        <v>2216.58</v>
      </c>
      <c r="F50" s="8"/>
      <c r="G50" s="8"/>
      <c r="H50" s="8"/>
      <c r="I50" s="8"/>
      <c r="J50" s="8"/>
      <c r="K50" s="8"/>
      <c r="L50" s="8"/>
      <c r="M50" s="8"/>
    </row>
    <row r="51" spans="1:13" x14ac:dyDescent="0.3">
      <c r="A51" s="13">
        <v>2</v>
      </c>
      <c r="B51" s="13">
        <v>20</v>
      </c>
      <c r="C51" s="13">
        <f t="shared" si="8"/>
        <v>0.05</v>
      </c>
      <c r="D51" s="13">
        <f t="shared" si="9"/>
        <v>5.0000000000000001E-3</v>
      </c>
      <c r="E51" s="8">
        <v>2263.14</v>
      </c>
      <c r="F51" s="8"/>
      <c r="G51" s="8"/>
      <c r="H51" s="8"/>
      <c r="I51" s="8"/>
      <c r="J51" s="8"/>
      <c r="K51" s="8"/>
      <c r="L51" s="8"/>
      <c r="M51" s="8"/>
    </row>
    <row r="52" spans="1:13" x14ac:dyDescent="0.3">
      <c r="A52" s="13">
        <v>3</v>
      </c>
      <c r="B52" s="13">
        <v>17.5</v>
      </c>
      <c r="C52" s="13">
        <f t="shared" si="8"/>
        <v>5.7142857142857141E-2</v>
      </c>
      <c r="D52" s="13">
        <f t="shared" si="9"/>
        <v>5.7142857142857143E-3</v>
      </c>
      <c r="E52" s="8">
        <v>2294.86</v>
      </c>
      <c r="F52" s="8"/>
      <c r="G52" s="8"/>
      <c r="H52" s="8"/>
      <c r="I52" s="8"/>
      <c r="J52" s="8"/>
      <c r="K52" s="8"/>
      <c r="L52" s="8"/>
      <c r="M52" s="8"/>
    </row>
    <row r="53" spans="1:13" x14ac:dyDescent="0.3">
      <c r="A53" s="13">
        <v>4</v>
      </c>
      <c r="B53" s="13">
        <v>15</v>
      </c>
      <c r="C53" s="13">
        <f t="shared" si="8"/>
        <v>6.6666666666666666E-2</v>
      </c>
      <c r="D53" s="13">
        <f t="shared" si="9"/>
        <v>6.6666666666666671E-3</v>
      </c>
      <c r="E53" s="8">
        <v>2356.23</v>
      </c>
      <c r="F53" s="8"/>
      <c r="G53" s="8"/>
      <c r="H53" s="8"/>
      <c r="I53" s="8"/>
      <c r="J53" s="8"/>
      <c r="K53" s="8"/>
      <c r="L53" s="8"/>
      <c r="M53" s="8"/>
    </row>
    <row r="54" spans="1:13" x14ac:dyDescent="0.3">
      <c r="A54" s="13">
        <v>5</v>
      </c>
      <c r="B54" s="13">
        <v>12.5</v>
      </c>
      <c r="C54" s="13">
        <f t="shared" si="8"/>
        <v>0.08</v>
      </c>
      <c r="D54" s="13">
        <f t="shared" si="9"/>
        <v>8.0000000000000002E-3</v>
      </c>
      <c r="E54" s="8">
        <v>2415.88</v>
      </c>
      <c r="F54" s="8"/>
      <c r="G54" s="8"/>
      <c r="H54" s="8"/>
      <c r="I54" s="8"/>
      <c r="J54" s="8"/>
      <c r="K54" s="8"/>
      <c r="L54" s="8"/>
      <c r="M54" s="8"/>
    </row>
    <row r="55" spans="1:13" x14ac:dyDescent="0.3">
      <c r="A55" s="13">
        <v>6</v>
      </c>
      <c r="B55" s="13">
        <v>10</v>
      </c>
      <c r="C55" s="13">
        <f t="shared" si="8"/>
        <v>0.1</v>
      </c>
      <c r="D55" s="13">
        <f t="shared" si="9"/>
        <v>0.01</v>
      </c>
      <c r="E55" s="8">
        <v>2475.27</v>
      </c>
      <c r="F55" s="8"/>
      <c r="G55" s="8"/>
      <c r="H55" s="8"/>
      <c r="I55" s="8"/>
      <c r="J55" s="8"/>
      <c r="K55" s="8"/>
      <c r="L55" s="8"/>
      <c r="M55" s="8"/>
    </row>
    <row r="56" spans="1:13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</row>
    <row r="57" spans="1:13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</row>
    <row r="58" spans="1:13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</row>
    <row r="59" spans="1:13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</sheetData>
  <mergeCells count="1">
    <mergeCell ref="A1:E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EAC7A-A4C5-4C71-8A50-7F454ADF0F6E}">
  <dimension ref="A1:K58"/>
  <sheetViews>
    <sheetView tabSelected="1" topLeftCell="A16" workbookViewId="0">
      <selection activeCell="N15" sqref="N15"/>
    </sheetView>
  </sheetViews>
  <sheetFormatPr baseColWidth="10" defaultRowHeight="14.4" x14ac:dyDescent="0.3"/>
  <cols>
    <col min="1" max="1" width="13" bestFit="1" customWidth="1"/>
    <col min="2" max="2" width="10.77734375" bestFit="1" customWidth="1"/>
    <col min="3" max="3" width="14.88671875" bestFit="1" customWidth="1"/>
    <col min="4" max="4" width="12" bestFit="1" customWidth="1"/>
    <col min="5" max="5" width="15.109375" bestFit="1" customWidth="1"/>
    <col min="7" max="7" width="12" bestFit="1" customWidth="1"/>
  </cols>
  <sheetData>
    <row r="1" spans="1:11" x14ac:dyDescent="0.3">
      <c r="A1" s="15" t="s">
        <v>21</v>
      </c>
      <c r="B1" s="15"/>
      <c r="C1" s="15"/>
      <c r="D1" s="15"/>
      <c r="E1" s="15"/>
      <c r="F1" s="8"/>
      <c r="G1" s="8"/>
      <c r="H1" s="8"/>
      <c r="I1" s="8"/>
      <c r="J1" s="8"/>
      <c r="K1" s="8"/>
    </row>
    <row r="2" spans="1:11" x14ac:dyDescent="0.3">
      <c r="A2" s="16" t="s">
        <v>19</v>
      </c>
      <c r="B2" s="16">
        <v>0.19</v>
      </c>
      <c r="C2" s="16" t="s">
        <v>20</v>
      </c>
      <c r="D2" s="13"/>
      <c r="E2" s="13"/>
      <c r="F2" s="8"/>
      <c r="G2" s="8"/>
      <c r="H2" s="8"/>
      <c r="I2" s="8"/>
      <c r="J2" s="8"/>
      <c r="K2" s="8"/>
    </row>
    <row r="3" spans="1:1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x14ac:dyDescent="0.3">
      <c r="A4" s="14" t="s">
        <v>22</v>
      </c>
      <c r="B4" s="13"/>
      <c r="C4" s="13"/>
      <c r="D4" s="13"/>
      <c r="E4" s="8"/>
      <c r="F4" s="8"/>
      <c r="G4" s="8"/>
      <c r="H4" s="8"/>
      <c r="I4" s="8"/>
      <c r="J4" s="8"/>
      <c r="K4" s="8"/>
    </row>
    <row r="5" spans="1:11" x14ac:dyDescent="0.3">
      <c r="A5" s="17" t="s">
        <v>23</v>
      </c>
      <c r="B5" s="17" t="s">
        <v>24</v>
      </c>
      <c r="C5" s="17" t="s">
        <v>25</v>
      </c>
      <c r="D5" s="17" t="s">
        <v>26</v>
      </c>
      <c r="E5" s="17" t="s">
        <v>27</v>
      </c>
      <c r="F5" s="8"/>
      <c r="G5" s="19" t="s">
        <v>31</v>
      </c>
      <c r="H5" s="19" t="s">
        <v>32</v>
      </c>
      <c r="I5" s="19" t="s">
        <v>33</v>
      </c>
      <c r="J5" s="19" t="s">
        <v>34</v>
      </c>
      <c r="K5" s="19" t="s">
        <v>35</v>
      </c>
    </row>
    <row r="6" spans="1:11" x14ac:dyDescent="0.3">
      <c r="A6" s="13">
        <v>0</v>
      </c>
      <c r="B6" s="13"/>
      <c r="C6" s="13">
        <v>0</v>
      </c>
      <c r="D6" s="13">
        <v>0</v>
      </c>
      <c r="E6" s="18">
        <v>286045088</v>
      </c>
      <c r="F6" s="8"/>
      <c r="G6" s="8">
        <v>0</v>
      </c>
      <c r="H6" s="8">
        <v>0</v>
      </c>
      <c r="I6" s="8">
        <v>0</v>
      </c>
      <c r="J6" s="8">
        <v>0</v>
      </c>
      <c r="K6" s="8">
        <v>0</v>
      </c>
    </row>
    <row r="7" spans="1:11" x14ac:dyDescent="0.3">
      <c r="A7" s="13">
        <v>1</v>
      </c>
      <c r="B7" s="13">
        <v>22.5</v>
      </c>
      <c r="C7" s="13">
        <f t="shared" ref="C7:C12" si="0">1/B7</f>
        <v>4.4444444444444446E-2</v>
      </c>
      <c r="D7" s="13">
        <f t="shared" ref="D7:D12" si="1">B$2/(2*B7)</f>
        <v>4.2222222222222227E-3</v>
      </c>
      <c r="E7" s="18">
        <v>149393856</v>
      </c>
      <c r="F7" s="8"/>
      <c r="G7" s="8">
        <f>(E7-E$6)/E$6</f>
        <v>-0.47772619678754979</v>
      </c>
      <c r="H7" s="8">
        <f>(E18-E$17)/E$17</f>
        <v>5.3069177384480068E-2</v>
      </c>
      <c r="I7" s="8">
        <f>(E29-E$28)/E$28</f>
        <v>-4.6606201199381435E-2</v>
      </c>
      <c r="J7" s="8">
        <f>(E40-E$39)/E$39</f>
        <v>-3.9280633162741828E-4</v>
      </c>
      <c r="K7" s="8">
        <f>(E51-E$50)/E$50</f>
        <v>-0.20037977213671795</v>
      </c>
    </row>
    <row r="8" spans="1:11" x14ac:dyDescent="0.3">
      <c r="A8" s="13">
        <v>2</v>
      </c>
      <c r="B8" s="13">
        <v>20</v>
      </c>
      <c r="C8" s="13">
        <f t="shared" si="0"/>
        <v>0.05</v>
      </c>
      <c r="D8" s="13">
        <f t="shared" si="1"/>
        <v>4.7499999999999999E-3</v>
      </c>
      <c r="E8" s="18">
        <v>153438448</v>
      </c>
      <c r="F8" s="8"/>
      <c r="G8" s="8">
        <f t="shared" ref="G8:G12" si="2">(E8-E$6)/E$6</f>
        <v>-0.46358649584641703</v>
      </c>
      <c r="H8" s="8">
        <f>(E19-E$17)/E$17</f>
        <v>3.0546208188508169E-2</v>
      </c>
      <c r="I8" s="8">
        <f>(E30-E$28)/E$28</f>
        <v>-6.263343589408224E-2</v>
      </c>
      <c r="J8" s="8">
        <f>(E41-E$39)/E$39</f>
        <v>-9.7977321489406793E-5</v>
      </c>
      <c r="K8" s="8">
        <f>(E52-E$50)/E$50</f>
        <v>-0.21047371577053772</v>
      </c>
    </row>
    <row r="9" spans="1:11" x14ac:dyDescent="0.3">
      <c r="A9" s="13">
        <v>3</v>
      </c>
      <c r="B9" s="13">
        <v>17.5</v>
      </c>
      <c r="C9" s="13">
        <f t="shared" si="0"/>
        <v>5.7142857142857141E-2</v>
      </c>
      <c r="D9" s="13">
        <f t="shared" si="1"/>
        <v>5.4285714285714284E-3</v>
      </c>
      <c r="E9" s="18">
        <v>146670432</v>
      </c>
      <c r="F9" s="8"/>
      <c r="G9" s="8">
        <f t="shared" si="2"/>
        <v>-0.48724715734325075</v>
      </c>
      <c r="H9" s="8">
        <f>(E20-E$17)/E$17</f>
        <v>2.3617695048750113E-2</v>
      </c>
      <c r="I9" s="8">
        <f>(E31-E$28)/E$28</f>
        <v>-7.4992083144223259E-2</v>
      </c>
      <c r="J9" s="8">
        <f>(E42-E$39)/E$39</f>
        <v>-1.9834676476492319E-5</v>
      </c>
      <c r="K9" s="8">
        <f>(E53-E$50)/E$50</f>
        <v>-0.26331534412685725</v>
      </c>
    </row>
    <row r="10" spans="1:11" x14ac:dyDescent="0.3">
      <c r="A10" s="13">
        <v>4</v>
      </c>
      <c r="B10" s="13">
        <v>15</v>
      </c>
      <c r="C10" s="13">
        <f t="shared" si="0"/>
        <v>6.6666666666666666E-2</v>
      </c>
      <c r="D10" s="13">
        <f t="shared" si="1"/>
        <v>6.3333333333333332E-3</v>
      </c>
      <c r="E10" s="18">
        <v>113314120</v>
      </c>
      <c r="F10" s="8"/>
      <c r="G10" s="8">
        <f t="shared" si="2"/>
        <v>-0.60385923494690463</v>
      </c>
      <c r="H10" s="8">
        <f>(E21-E$17)/E$17</f>
        <v>-1.4221734570834584E-2</v>
      </c>
      <c r="I10" s="8">
        <f>(E32-E$28)/E$28</f>
        <v>-8.7213984703675015E-2</v>
      </c>
      <c r="J10" s="8">
        <f>(E43-E$39)/E$39</f>
        <v>-1.7681766868993655E-4</v>
      </c>
      <c r="K10" s="8">
        <f>(E54-E$50)/E$50</f>
        <v>-0.26901192617762676</v>
      </c>
    </row>
    <row r="11" spans="1:11" x14ac:dyDescent="0.3">
      <c r="A11" s="13">
        <v>5</v>
      </c>
      <c r="B11" s="13">
        <v>12.5</v>
      </c>
      <c r="C11" s="13">
        <f t="shared" si="0"/>
        <v>0.08</v>
      </c>
      <c r="D11" s="13">
        <f t="shared" si="1"/>
        <v>7.6E-3</v>
      </c>
      <c r="E11" s="18">
        <v>94862224</v>
      </c>
      <c r="F11" s="8"/>
      <c r="G11" s="8">
        <f t="shared" si="2"/>
        <v>-0.66836618428490546</v>
      </c>
      <c r="H11" s="8">
        <f>(E22-E$17)/E$17</f>
        <v>-3.2475006793207049E-2</v>
      </c>
      <c r="I11" s="8">
        <f>(E33-E$28)/E$28</f>
        <v>-0.10190210678994334</v>
      </c>
      <c r="J11" s="8">
        <f>(E44-E$39)/E$39</f>
        <v>-4.1244166462173475E-4</v>
      </c>
      <c r="K11" s="8">
        <f>(E55-E$50)/E$50</f>
        <v>-0.27057099073889007</v>
      </c>
    </row>
    <row r="12" spans="1:11" x14ac:dyDescent="0.3">
      <c r="A12" s="13">
        <v>6</v>
      </c>
      <c r="B12" s="13">
        <v>10</v>
      </c>
      <c r="C12" s="13">
        <f t="shared" si="0"/>
        <v>0.1</v>
      </c>
      <c r="D12" s="13">
        <f t="shared" si="1"/>
        <v>9.4999999999999998E-3</v>
      </c>
      <c r="E12" s="18">
        <v>90862224</v>
      </c>
      <c r="F12" s="8"/>
      <c r="G12" s="8">
        <f t="shared" si="2"/>
        <v>-0.68234999371847282</v>
      </c>
      <c r="H12" s="8">
        <f>(E23-E$17)/E$17</f>
        <v>-5.9304418525086361E-2</v>
      </c>
      <c r="I12" s="8">
        <f>(E34-E$28)/E$28</f>
        <v>-0.11300880681343622</v>
      </c>
      <c r="J12" s="8">
        <f>(E45-E$39)/E$39</f>
        <v>-1.5738167917779585E-4</v>
      </c>
      <c r="K12" s="8">
        <f>(E56-E$50)/E$50</f>
        <v>-0.2808914651209275</v>
      </c>
    </row>
    <row r="13" spans="1:1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 x14ac:dyDescent="0.3">
      <c r="A15" s="14" t="s">
        <v>28</v>
      </c>
      <c r="B15" s="13"/>
      <c r="C15" s="13"/>
      <c r="D15" s="13"/>
      <c r="E15" s="13"/>
      <c r="F15" s="8"/>
      <c r="G15" s="8"/>
      <c r="H15" s="8"/>
      <c r="I15" s="8"/>
      <c r="J15" s="8"/>
      <c r="K15" s="8"/>
    </row>
    <row r="16" spans="1:11" x14ac:dyDescent="0.3">
      <c r="A16" s="17" t="s">
        <v>23</v>
      </c>
      <c r="B16" s="17" t="s">
        <v>24</v>
      </c>
      <c r="C16" s="17" t="s">
        <v>25</v>
      </c>
      <c r="D16" s="17" t="s">
        <v>26</v>
      </c>
      <c r="E16" s="17" t="s">
        <v>27</v>
      </c>
      <c r="F16" s="8"/>
      <c r="G16" s="8"/>
      <c r="H16" s="8"/>
      <c r="I16" s="8"/>
      <c r="J16" s="8"/>
      <c r="K16" s="8"/>
    </row>
    <row r="17" spans="1:11" x14ac:dyDescent="0.3">
      <c r="A17" s="13">
        <v>0</v>
      </c>
      <c r="B17" s="13"/>
      <c r="C17" s="13">
        <v>0</v>
      </c>
      <c r="D17" s="13">
        <v>0</v>
      </c>
      <c r="E17" s="11">
        <v>745450560</v>
      </c>
      <c r="F17" s="8"/>
      <c r="G17" s="8"/>
      <c r="H17" s="8"/>
      <c r="I17" s="8"/>
      <c r="J17" s="8"/>
      <c r="K17" s="8"/>
    </row>
    <row r="18" spans="1:11" x14ac:dyDescent="0.3">
      <c r="A18" s="13">
        <v>1</v>
      </c>
      <c r="B18" s="13">
        <v>22.5</v>
      </c>
      <c r="C18" s="13">
        <f t="shared" ref="C18:C23" si="3">1/B18</f>
        <v>4.4444444444444446E-2</v>
      </c>
      <c r="D18" s="13">
        <f t="shared" ref="D18:D23" si="4">B$2/(2*B18)</f>
        <v>4.2222222222222227E-3</v>
      </c>
      <c r="E18" s="18">
        <v>785011008</v>
      </c>
      <c r="F18" s="8"/>
      <c r="G18" s="8"/>
      <c r="H18" s="8"/>
      <c r="I18" s="8"/>
      <c r="J18" s="8"/>
      <c r="K18" s="8"/>
    </row>
    <row r="19" spans="1:11" x14ac:dyDescent="0.3">
      <c r="A19" s="13">
        <v>2</v>
      </c>
      <c r="B19" s="13">
        <v>20</v>
      </c>
      <c r="C19" s="13">
        <f t="shared" si="3"/>
        <v>0.05</v>
      </c>
      <c r="D19" s="13">
        <f t="shared" si="4"/>
        <v>4.7499999999999999E-3</v>
      </c>
      <c r="E19" s="18">
        <v>768221248</v>
      </c>
      <c r="F19" s="8"/>
      <c r="G19" s="8"/>
      <c r="H19" s="8"/>
      <c r="I19" s="8"/>
      <c r="J19" s="8"/>
      <c r="K19" s="8"/>
    </row>
    <row r="20" spans="1:11" x14ac:dyDescent="0.3">
      <c r="A20" s="13">
        <v>3</v>
      </c>
      <c r="B20" s="13">
        <v>17.5</v>
      </c>
      <c r="C20" s="13">
        <f t="shared" si="3"/>
        <v>5.7142857142857141E-2</v>
      </c>
      <c r="D20" s="13">
        <f t="shared" si="4"/>
        <v>5.4285714285714284E-3</v>
      </c>
      <c r="E20" s="18">
        <v>763056384</v>
      </c>
      <c r="F20" s="8"/>
      <c r="G20" s="8"/>
      <c r="H20" s="8"/>
      <c r="I20" s="8"/>
      <c r="J20" s="8"/>
      <c r="K20" s="8"/>
    </row>
    <row r="21" spans="1:11" x14ac:dyDescent="0.3">
      <c r="A21" s="13">
        <v>4</v>
      </c>
      <c r="B21" s="13">
        <v>15</v>
      </c>
      <c r="C21" s="13">
        <f t="shared" si="3"/>
        <v>6.6666666666666666E-2</v>
      </c>
      <c r="D21" s="13">
        <f t="shared" si="4"/>
        <v>6.3333333333333332E-3</v>
      </c>
      <c r="E21" s="18">
        <v>734848960</v>
      </c>
      <c r="F21" s="8"/>
      <c r="G21" s="8"/>
      <c r="H21" s="8"/>
      <c r="I21" s="8"/>
      <c r="J21" s="8"/>
      <c r="K21" s="8"/>
    </row>
    <row r="22" spans="1:11" x14ac:dyDescent="0.3">
      <c r="A22" s="13">
        <v>5</v>
      </c>
      <c r="B22" s="13">
        <v>12.5</v>
      </c>
      <c r="C22" s="13">
        <f t="shared" si="3"/>
        <v>0.08</v>
      </c>
      <c r="D22" s="13">
        <f t="shared" si="4"/>
        <v>7.6E-3</v>
      </c>
      <c r="E22" s="18">
        <v>721242048</v>
      </c>
      <c r="F22" s="8"/>
      <c r="G22" s="8"/>
      <c r="H22" s="8"/>
      <c r="I22" s="8"/>
      <c r="J22" s="8"/>
      <c r="K22" s="8"/>
    </row>
    <row r="23" spans="1:11" x14ac:dyDescent="0.3">
      <c r="A23" s="13">
        <v>6</v>
      </c>
      <c r="B23" s="13">
        <v>10</v>
      </c>
      <c r="C23" s="13">
        <f t="shared" si="3"/>
        <v>0.1</v>
      </c>
      <c r="D23" s="13">
        <f t="shared" si="4"/>
        <v>9.4999999999999998E-3</v>
      </c>
      <c r="E23" s="18">
        <v>701242048</v>
      </c>
      <c r="F23" s="8"/>
      <c r="G23" s="8"/>
      <c r="H23" s="8"/>
      <c r="I23" s="8"/>
      <c r="J23" s="8"/>
      <c r="K23" s="8"/>
    </row>
    <row r="24" spans="1:1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x14ac:dyDescent="0.3">
      <c r="A26" s="14" t="s">
        <v>29</v>
      </c>
      <c r="B26" s="13"/>
      <c r="C26" s="13"/>
      <c r="D26" s="13"/>
      <c r="E26" s="13"/>
      <c r="F26" s="8"/>
      <c r="G26" s="8"/>
      <c r="H26" s="8"/>
      <c r="I26" s="8"/>
      <c r="J26" s="8"/>
      <c r="K26" s="8"/>
    </row>
    <row r="27" spans="1:11" x14ac:dyDescent="0.3">
      <c r="A27" s="17" t="s">
        <v>23</v>
      </c>
      <c r="B27" s="17" t="s">
        <v>24</v>
      </c>
      <c r="C27" s="17" t="s">
        <v>25</v>
      </c>
      <c r="D27" s="17" t="s">
        <v>26</v>
      </c>
      <c r="E27" s="17" t="s">
        <v>27</v>
      </c>
      <c r="F27" s="8"/>
      <c r="G27" s="8"/>
      <c r="H27" s="8"/>
      <c r="I27" s="8"/>
      <c r="J27" s="8"/>
      <c r="K27" s="8"/>
    </row>
    <row r="28" spans="1:11" x14ac:dyDescent="0.3">
      <c r="A28" s="13">
        <v>0</v>
      </c>
      <c r="B28" s="13"/>
      <c r="C28" s="13">
        <v>0</v>
      </c>
      <c r="D28" s="13">
        <v>0</v>
      </c>
      <c r="E28" s="18">
        <v>90035744</v>
      </c>
      <c r="F28" s="8"/>
      <c r="G28" s="8"/>
      <c r="H28" s="8"/>
      <c r="I28" s="8"/>
      <c r="J28" s="8"/>
      <c r="K28" s="8"/>
    </row>
    <row r="29" spans="1:11" x14ac:dyDescent="0.3">
      <c r="A29" s="13">
        <v>1</v>
      </c>
      <c r="B29" s="13">
        <v>22.5</v>
      </c>
      <c r="C29" s="13">
        <f t="shared" ref="C29:C34" si="5">1/B29</f>
        <v>4.4444444444444446E-2</v>
      </c>
      <c r="D29" s="13">
        <f t="shared" ref="D29:D34" si="6">B$2/(2*B29)</f>
        <v>4.2222222222222227E-3</v>
      </c>
      <c r="E29" s="18">
        <v>85839520</v>
      </c>
      <c r="F29" s="8"/>
      <c r="G29" s="8"/>
      <c r="H29" s="8"/>
      <c r="I29" s="8"/>
      <c r="J29" s="8"/>
      <c r="K29" s="8"/>
    </row>
    <row r="30" spans="1:11" x14ac:dyDescent="0.3">
      <c r="A30" s="13">
        <v>2</v>
      </c>
      <c r="B30" s="13">
        <v>20</v>
      </c>
      <c r="C30" s="13">
        <f t="shared" si="5"/>
        <v>0.05</v>
      </c>
      <c r="D30" s="13">
        <f t="shared" si="6"/>
        <v>4.7499999999999999E-3</v>
      </c>
      <c r="E30" s="18">
        <v>84396496</v>
      </c>
      <c r="F30" s="8"/>
      <c r="G30" s="8"/>
      <c r="H30" s="8"/>
      <c r="I30" s="8"/>
      <c r="J30" s="8"/>
      <c r="K30" s="8"/>
    </row>
    <row r="31" spans="1:11" x14ac:dyDescent="0.3">
      <c r="A31" s="13">
        <v>3</v>
      </c>
      <c r="B31" s="13">
        <v>17.5</v>
      </c>
      <c r="C31" s="13">
        <f t="shared" si="5"/>
        <v>5.7142857142857141E-2</v>
      </c>
      <c r="D31" s="13">
        <f t="shared" si="6"/>
        <v>5.4285714285714284E-3</v>
      </c>
      <c r="E31" s="18">
        <v>83283776</v>
      </c>
      <c r="F31" s="8"/>
      <c r="G31" s="8"/>
      <c r="H31" s="8"/>
      <c r="I31" s="8"/>
      <c r="J31" s="8"/>
      <c r="K31" s="8"/>
    </row>
    <row r="32" spans="1:11" x14ac:dyDescent="0.3">
      <c r="A32" s="13">
        <v>4</v>
      </c>
      <c r="B32" s="13">
        <v>15</v>
      </c>
      <c r="C32" s="13">
        <f t="shared" si="5"/>
        <v>6.6666666666666666E-2</v>
      </c>
      <c r="D32" s="13">
        <f t="shared" si="6"/>
        <v>6.3333333333333332E-3</v>
      </c>
      <c r="E32" s="18">
        <v>82183368</v>
      </c>
      <c r="F32" s="8"/>
      <c r="G32" s="8"/>
      <c r="H32" s="8"/>
      <c r="I32" s="8"/>
      <c r="J32" s="8"/>
      <c r="K32" s="8"/>
    </row>
    <row r="33" spans="1:11" x14ac:dyDescent="0.3">
      <c r="A33" s="13">
        <v>5</v>
      </c>
      <c r="B33" s="13">
        <v>12.5</v>
      </c>
      <c r="C33" s="13">
        <f t="shared" si="5"/>
        <v>0.08</v>
      </c>
      <c r="D33" s="13">
        <f t="shared" si="6"/>
        <v>7.6E-3</v>
      </c>
      <c r="E33" s="18">
        <v>80860912</v>
      </c>
      <c r="F33" s="8"/>
      <c r="G33" s="8"/>
      <c r="H33" s="8"/>
      <c r="I33" s="8"/>
      <c r="J33" s="8"/>
      <c r="K33" s="8"/>
    </row>
    <row r="34" spans="1:11" x14ac:dyDescent="0.3">
      <c r="A34" s="13">
        <v>6</v>
      </c>
      <c r="B34" s="13">
        <v>10</v>
      </c>
      <c r="C34" s="13">
        <f t="shared" si="5"/>
        <v>0.1</v>
      </c>
      <c r="D34" s="13">
        <f t="shared" si="6"/>
        <v>9.4999999999999998E-3</v>
      </c>
      <c r="E34" s="11">
        <v>79860912</v>
      </c>
      <c r="F34" s="8"/>
      <c r="G34" s="8"/>
      <c r="H34" s="8"/>
      <c r="I34" s="8"/>
      <c r="J34" s="8"/>
      <c r="K34" s="8"/>
    </row>
    <row r="35" spans="1:1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x14ac:dyDescent="0.3">
      <c r="A37" s="14" t="s">
        <v>30</v>
      </c>
      <c r="B37" s="13"/>
      <c r="C37" s="13"/>
      <c r="D37" s="13"/>
      <c r="E37" s="13"/>
      <c r="F37" s="8"/>
      <c r="G37" s="8"/>
      <c r="H37" s="8"/>
      <c r="I37" s="8"/>
      <c r="J37" s="8"/>
      <c r="K37" s="8"/>
    </row>
    <row r="38" spans="1:11" x14ac:dyDescent="0.3">
      <c r="A38" s="17" t="s">
        <v>23</v>
      </c>
      <c r="B38" s="17" t="s">
        <v>24</v>
      </c>
      <c r="C38" s="17" t="s">
        <v>25</v>
      </c>
      <c r="D38" s="17" t="s">
        <v>26</v>
      </c>
      <c r="E38" s="17" t="s">
        <v>27</v>
      </c>
      <c r="F38" s="8"/>
      <c r="G38" s="8"/>
      <c r="H38" s="8"/>
      <c r="I38" s="8"/>
      <c r="J38" s="8"/>
      <c r="K38" s="8"/>
    </row>
    <row r="39" spans="1:11" x14ac:dyDescent="0.3">
      <c r="A39" s="13">
        <v>0</v>
      </c>
      <c r="B39" s="13"/>
      <c r="C39" s="13">
        <v>0</v>
      </c>
      <c r="D39" s="13">
        <v>0</v>
      </c>
      <c r="E39" s="11">
        <v>80263472</v>
      </c>
      <c r="F39" s="8"/>
      <c r="G39" s="8"/>
      <c r="H39" s="8"/>
      <c r="I39" s="8"/>
      <c r="J39" s="8"/>
      <c r="K39" s="8"/>
    </row>
    <row r="40" spans="1:11" x14ac:dyDescent="0.3">
      <c r="A40" s="13">
        <v>1</v>
      </c>
      <c r="B40" s="13">
        <v>22.5</v>
      </c>
      <c r="C40" s="13">
        <f t="shared" ref="C40:C45" si="7">1/B40</f>
        <v>4.4444444444444446E-2</v>
      </c>
      <c r="D40" s="13">
        <f t="shared" ref="D40:D45" si="8">B$2/(2*B40)</f>
        <v>4.2222222222222227E-3</v>
      </c>
      <c r="E40" s="20">
        <v>80231944</v>
      </c>
      <c r="F40" s="8"/>
      <c r="G40" s="8"/>
      <c r="H40" s="8"/>
      <c r="I40" s="8"/>
      <c r="J40" s="8"/>
      <c r="K40" s="8"/>
    </row>
    <row r="41" spans="1:11" x14ac:dyDescent="0.3">
      <c r="A41" s="13">
        <v>2</v>
      </c>
      <c r="B41" s="13">
        <v>20</v>
      </c>
      <c r="C41" s="13">
        <f t="shared" si="7"/>
        <v>0.05</v>
      </c>
      <c r="D41" s="13">
        <f t="shared" si="8"/>
        <v>4.7499999999999999E-3</v>
      </c>
      <c r="E41" s="20">
        <v>80255608</v>
      </c>
      <c r="F41" s="8"/>
      <c r="G41" s="8"/>
      <c r="H41" s="8"/>
      <c r="I41" s="8"/>
      <c r="J41" s="8"/>
      <c r="K41" s="8"/>
    </row>
    <row r="42" spans="1:11" x14ac:dyDescent="0.3">
      <c r="A42" s="13">
        <v>3</v>
      </c>
      <c r="B42" s="13">
        <v>17.5</v>
      </c>
      <c r="C42" s="13">
        <f t="shared" si="7"/>
        <v>5.7142857142857141E-2</v>
      </c>
      <c r="D42" s="13">
        <f t="shared" si="8"/>
        <v>5.4285714285714284E-3</v>
      </c>
      <c r="E42" s="20">
        <v>80261880</v>
      </c>
      <c r="F42" s="8"/>
      <c r="G42" s="8"/>
      <c r="H42" s="8"/>
      <c r="I42" s="8"/>
      <c r="J42" s="8"/>
      <c r="K42" s="8"/>
    </row>
    <row r="43" spans="1:11" x14ac:dyDescent="0.3">
      <c r="A43" s="13">
        <v>4</v>
      </c>
      <c r="B43" s="13">
        <v>15</v>
      </c>
      <c r="C43" s="13">
        <f t="shared" si="7"/>
        <v>6.6666666666666666E-2</v>
      </c>
      <c r="D43" s="13">
        <f t="shared" si="8"/>
        <v>6.3333333333333332E-3</v>
      </c>
      <c r="E43" s="20">
        <v>80249280</v>
      </c>
      <c r="F43" s="8"/>
      <c r="G43" s="8"/>
      <c r="H43" s="8"/>
      <c r="I43" s="8"/>
      <c r="J43" s="8"/>
      <c r="K43" s="8"/>
    </row>
    <row r="44" spans="1:11" x14ac:dyDescent="0.3">
      <c r="A44" s="13">
        <v>5</v>
      </c>
      <c r="B44" s="13">
        <v>12.5</v>
      </c>
      <c r="C44" s="13">
        <f t="shared" si="7"/>
        <v>0.08</v>
      </c>
      <c r="D44" s="13">
        <f t="shared" si="8"/>
        <v>7.6E-3</v>
      </c>
      <c r="E44" s="20">
        <v>80230368</v>
      </c>
      <c r="F44" s="8"/>
      <c r="G44" s="8"/>
      <c r="H44" s="8"/>
      <c r="I44" s="8"/>
      <c r="J44" s="8"/>
      <c r="K44" s="8"/>
    </row>
    <row r="45" spans="1:11" x14ac:dyDescent="0.3">
      <c r="A45" s="13">
        <v>6</v>
      </c>
      <c r="B45" s="13">
        <v>10</v>
      </c>
      <c r="C45" s="13">
        <f t="shared" si="7"/>
        <v>0.1</v>
      </c>
      <c r="D45" s="13">
        <f t="shared" si="8"/>
        <v>9.4999999999999998E-3</v>
      </c>
      <c r="E45" s="20">
        <v>80250840</v>
      </c>
      <c r="F45" s="8"/>
      <c r="G45" s="8"/>
      <c r="H45" s="8"/>
      <c r="I45" s="8"/>
      <c r="J45" s="8"/>
      <c r="K45" s="8"/>
    </row>
    <row r="46" spans="1:1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x14ac:dyDescent="0.3">
      <c r="A48" s="14" t="s">
        <v>1</v>
      </c>
      <c r="B48" s="13"/>
      <c r="C48" s="13"/>
      <c r="D48" s="13"/>
      <c r="E48" s="13"/>
      <c r="F48" s="8"/>
      <c r="G48" s="8"/>
      <c r="H48" s="8"/>
      <c r="I48" s="8"/>
      <c r="J48" s="8"/>
      <c r="K48" s="8"/>
    </row>
    <row r="49" spans="1:11" x14ac:dyDescent="0.3">
      <c r="A49" s="17" t="s">
        <v>23</v>
      </c>
      <c r="B49" s="17" t="s">
        <v>24</v>
      </c>
      <c r="C49" s="17" t="s">
        <v>25</v>
      </c>
      <c r="D49" s="17" t="s">
        <v>26</v>
      </c>
      <c r="E49" s="17" t="s">
        <v>27</v>
      </c>
      <c r="F49" s="8"/>
      <c r="G49" s="8"/>
      <c r="H49" s="8"/>
      <c r="I49" s="8"/>
      <c r="J49" s="8"/>
      <c r="K49" s="8"/>
    </row>
    <row r="50" spans="1:11" x14ac:dyDescent="0.3">
      <c r="A50" s="13">
        <v>0</v>
      </c>
      <c r="B50" s="13"/>
      <c r="C50" s="13">
        <v>0</v>
      </c>
      <c r="D50" s="13">
        <v>0</v>
      </c>
      <c r="E50" s="11">
        <v>1500.9</v>
      </c>
      <c r="F50" s="8"/>
      <c r="G50" s="8"/>
      <c r="H50" s="8"/>
      <c r="I50" s="8"/>
      <c r="J50" s="8"/>
      <c r="K50" s="8"/>
    </row>
    <row r="51" spans="1:11" x14ac:dyDescent="0.3">
      <c r="A51" s="13">
        <v>1</v>
      </c>
      <c r="B51" s="13">
        <v>22.5</v>
      </c>
      <c r="C51" s="13">
        <f t="shared" ref="C51:C56" si="9">1/B51</f>
        <v>4.4444444444444446E-2</v>
      </c>
      <c r="D51" s="13">
        <f t="shared" ref="D51:D56" si="10">B$2/(2*B51)</f>
        <v>4.2222222222222227E-3</v>
      </c>
      <c r="E51" s="20">
        <v>1200.1500000000001</v>
      </c>
      <c r="F51" s="8"/>
      <c r="G51" s="8"/>
      <c r="H51" s="8"/>
      <c r="I51" s="8"/>
      <c r="J51" s="8"/>
      <c r="K51" s="8"/>
    </row>
    <row r="52" spans="1:11" x14ac:dyDescent="0.3">
      <c r="A52" s="13">
        <v>2</v>
      </c>
      <c r="B52" s="13">
        <v>20</v>
      </c>
      <c r="C52" s="13">
        <f t="shared" si="9"/>
        <v>0.05</v>
      </c>
      <c r="D52" s="13">
        <f t="shared" si="10"/>
        <v>4.7499999999999999E-3</v>
      </c>
      <c r="E52" s="20">
        <v>1185</v>
      </c>
      <c r="F52" s="8"/>
      <c r="G52" s="8"/>
      <c r="H52" s="8"/>
      <c r="I52" s="8"/>
      <c r="J52" s="8"/>
      <c r="K52" s="8"/>
    </row>
    <row r="53" spans="1:11" x14ac:dyDescent="0.3">
      <c r="A53" s="13">
        <v>3</v>
      </c>
      <c r="B53" s="13">
        <v>17.5</v>
      </c>
      <c r="C53" s="13">
        <f t="shared" si="9"/>
        <v>5.7142857142857141E-2</v>
      </c>
      <c r="D53" s="13">
        <f t="shared" si="10"/>
        <v>5.4285714285714284E-3</v>
      </c>
      <c r="E53" s="20">
        <v>1105.69</v>
      </c>
      <c r="F53" s="8"/>
      <c r="G53" s="8"/>
      <c r="H53" s="8"/>
      <c r="I53" s="8"/>
      <c r="J53" s="8"/>
      <c r="K53" s="8"/>
    </row>
    <row r="54" spans="1:11" x14ac:dyDescent="0.3">
      <c r="A54" s="13">
        <v>4</v>
      </c>
      <c r="B54" s="13">
        <v>15</v>
      </c>
      <c r="C54" s="13">
        <f t="shared" si="9"/>
        <v>6.6666666666666666E-2</v>
      </c>
      <c r="D54" s="13">
        <f t="shared" si="10"/>
        <v>6.3333333333333332E-3</v>
      </c>
      <c r="E54" s="20">
        <v>1097.1400000000001</v>
      </c>
      <c r="F54" s="8"/>
      <c r="G54" s="8"/>
      <c r="H54" s="8"/>
      <c r="I54" s="8"/>
      <c r="J54" s="8"/>
      <c r="K54" s="8"/>
    </row>
    <row r="55" spans="1:11" x14ac:dyDescent="0.3">
      <c r="A55" s="13">
        <v>5</v>
      </c>
      <c r="B55" s="13">
        <v>12.5</v>
      </c>
      <c r="C55" s="13">
        <f t="shared" si="9"/>
        <v>0.08</v>
      </c>
      <c r="D55" s="13">
        <f t="shared" si="10"/>
        <v>7.6E-3</v>
      </c>
      <c r="E55" s="20">
        <v>1094.8</v>
      </c>
      <c r="F55" s="8"/>
      <c r="G55" s="8"/>
      <c r="H55" s="8"/>
      <c r="I55" s="8"/>
      <c r="J55" s="8"/>
      <c r="K55" s="8"/>
    </row>
    <row r="56" spans="1:11" x14ac:dyDescent="0.3">
      <c r="A56" s="13">
        <v>6</v>
      </c>
      <c r="B56" s="13">
        <v>10</v>
      </c>
      <c r="C56" s="13">
        <f t="shared" si="9"/>
        <v>0.1</v>
      </c>
      <c r="D56" s="13">
        <f t="shared" si="10"/>
        <v>9.4999999999999998E-3</v>
      </c>
      <c r="E56" s="20">
        <v>1079.31</v>
      </c>
      <c r="F56" s="8"/>
      <c r="G56" s="8"/>
      <c r="H56" s="8"/>
      <c r="I56" s="8"/>
      <c r="J56" s="8"/>
      <c r="K56" s="8"/>
    </row>
    <row r="57" spans="1:1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Tension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Khue</dc:creator>
  <cp:lastModifiedBy>Minh-Khue Nguyen</cp:lastModifiedBy>
  <dcterms:created xsi:type="dcterms:W3CDTF">2015-06-05T18:17:20Z</dcterms:created>
  <dcterms:modified xsi:type="dcterms:W3CDTF">2026-04-28T16:45:38Z</dcterms:modified>
</cp:coreProperties>
</file>